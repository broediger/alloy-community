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oern/Downloads/"/>
    </mc:Choice>
  </mc:AlternateContent>
  <xr:revisionPtr revIDLastSave="0" documentId="8_{413645F5-73D4-44F6-9A99-75C2272C09D5}" xr6:coauthVersionLast="47" xr6:coauthVersionMax="47" xr10:uidLastSave="{00000000-0000-0000-0000-000000000000}"/>
  <bookViews>
    <workbookView xWindow="30440" yWindow="200" windowWidth="36600" windowHeight="23580" tabRatio="593" firstSheet="4" activeTab="4" xr2:uid="{655BD633-04C1-406A-9543-AC8C28F02AC4}"/>
  </bookViews>
  <sheets>
    <sheet name="Historie" sheetId="10" r:id="rId1"/>
    <sheet name="Service Bus" sheetId="3" r:id="rId2"/>
    <sheet name="Interface Rules" sheetId="4" r:id="rId3"/>
    <sheet name="Interface Mapping" sheetId="11" r:id="rId4"/>
    <sheet name="ENUM" sheetId="12" r:id="rId5"/>
    <sheet name="Interface Mapping (old)" sheetId="8" state="hidden" r:id="rId6"/>
  </sheets>
  <definedNames>
    <definedName name="_xlnm._FilterDatabase" localSheetId="3" hidden="1">'Interface Mapping'!$A$2:$P$47</definedName>
    <definedName name="_xlnm._FilterDatabase" localSheetId="5" hidden="1">'Interface Mapping (old)'!$A$2:$P$54</definedName>
    <definedName name="_xlnm._FilterDatabase" localSheetId="4" hidden="1">ENUM!$A$1:$F$1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1" l="1"/>
  <c r="E6" i="11" s="1"/>
  <c r="E9" i="11"/>
  <c r="E7" i="11" s="1"/>
  <c r="E4" i="11"/>
  <c r="E50" i="11"/>
  <c r="E48" i="11" s="1"/>
  <c r="E46" i="11" s="1"/>
  <c r="E44" i="11" s="1"/>
  <c r="E42" i="11" s="1"/>
  <c r="E52" i="11"/>
  <c r="E51" i="11" s="1"/>
  <c r="E49" i="11" s="1"/>
  <c r="E47" i="11" s="1"/>
  <c r="E10" i="11"/>
  <c r="E20" i="11"/>
  <c r="E18" i="11" s="1"/>
  <c r="E16" i="11" s="1"/>
  <c r="E14" i="11" s="1"/>
  <c r="E4" i="8"/>
  <c r="E28" i="11"/>
  <c r="E26" i="11" s="1"/>
  <c r="E24" i="11" s="1"/>
  <c r="E22" i="11" s="1"/>
  <c r="E34" i="11"/>
  <c r="E32" i="11" s="1"/>
  <c r="E30" i="11" s="1"/>
  <c r="E35" i="11"/>
  <c r="E33" i="11" s="1"/>
  <c r="E31" i="11" s="1"/>
  <c r="E29" i="11" s="1"/>
  <c r="E27" i="11" s="1"/>
  <c r="E25" i="11" s="1"/>
  <c r="E23" i="11" s="1"/>
  <c r="E21" i="11" s="1"/>
  <c r="E19" i="11" s="1"/>
  <c r="E17" i="11" s="1"/>
  <c r="E15" i="11" s="1"/>
  <c r="E13" i="11" s="1"/>
  <c r="C45" i="11"/>
  <c r="C43" i="11"/>
  <c r="C41" i="11"/>
  <c r="C40" i="11"/>
  <c r="C12" i="11"/>
  <c r="C11" i="11"/>
  <c r="C9" i="11"/>
  <c r="C6" i="11"/>
  <c r="E3" i="11"/>
  <c r="C3" i="11"/>
  <c r="E58" i="8"/>
  <c r="E56" i="8" s="1"/>
  <c r="E54" i="8" s="1"/>
  <c r="E59" i="8"/>
  <c r="E57" i="8" s="1"/>
  <c r="E55" i="8" s="1"/>
  <c r="E53" i="8" s="1"/>
  <c r="E60" i="8"/>
  <c r="E20" i="8"/>
  <c r="E18" i="8" s="1"/>
  <c r="E16" i="8" s="1"/>
  <c r="E14" i="8" s="1"/>
  <c r="E23" i="8"/>
  <c r="E21" i="8" s="1"/>
  <c r="E19" i="8" s="1"/>
  <c r="E17" i="8" s="1"/>
  <c r="E15" i="8" s="1"/>
  <c r="E13" i="8" s="1"/>
  <c r="E26" i="8"/>
  <c r="E24" i="8" s="1"/>
  <c r="E22" i="8" s="1"/>
  <c r="E33" i="8"/>
  <c r="E31" i="8" s="1"/>
  <c r="E29" i="8" s="1"/>
  <c r="E27" i="8" s="1"/>
  <c r="E25" i="8" s="1"/>
  <c r="E36" i="8"/>
  <c r="E34" i="8" s="1"/>
  <c r="E32" i="8" s="1"/>
  <c r="E30" i="8" s="1"/>
  <c r="E28" i="8" s="1"/>
  <c r="E37" i="8"/>
  <c r="E35" i="8" s="1"/>
  <c r="E43" i="8"/>
  <c r="E41" i="8" s="1"/>
  <c r="E39" i="8" s="1"/>
  <c r="E44" i="8"/>
  <c r="E42" i="8" s="1"/>
  <c r="E40" i="8" s="1"/>
  <c r="E38" i="8" s="1"/>
  <c r="C6" i="8"/>
  <c r="C52" i="8"/>
  <c r="C51" i="8"/>
  <c r="C50" i="8"/>
  <c r="C49" i="8"/>
  <c r="C12" i="8"/>
  <c r="C11" i="8"/>
  <c r="C9" i="8"/>
  <c r="E3" i="8"/>
  <c r="C3" i="8"/>
  <c r="E45" i="11" l="1"/>
  <c r="E43" i="11" s="1"/>
  <c r="E41" i="11" s="1"/>
  <c r="E39" i="11" s="1"/>
  <c r="E37" i="11" s="1"/>
  <c r="E40" i="11"/>
  <c r="E38" i="11" s="1"/>
  <c r="E36" i="11" s="1"/>
  <c r="E11" i="11"/>
  <c r="E5" i="11"/>
  <c r="E12" i="11"/>
  <c r="E51" i="8"/>
  <c r="E49" i="8" s="1"/>
  <c r="E47" i="8" s="1"/>
  <c r="E45" i="8" s="1"/>
  <c r="E52" i="8"/>
  <c r="E50" i="8" s="1"/>
  <c r="E48" i="8" s="1"/>
  <c r="E46" i="8" s="1"/>
  <c r="E12" i="8"/>
  <c r="E9" i="8" s="1"/>
  <c r="E7" i="8" s="1"/>
  <c r="E5" i="8" s="1"/>
  <c r="E11" i="8"/>
  <c r="E8" i="8" s="1"/>
  <c r="E6" i="8" s="1"/>
</calcChain>
</file>

<file path=xl/sharedStrings.xml><?xml version="1.0" encoding="utf-8"?>
<sst xmlns="http://schemas.openxmlformats.org/spreadsheetml/2006/main" count="2807" uniqueCount="1220">
  <si>
    <t>ISU2CRM - Upsert InstallationFact - Änderungshistorie</t>
  </si>
  <si>
    <t>Durchgeführte Änderungen an dem Interface Mapping werden hier angeführt sowie in dem Tab "Interface Mapping (Main Doc)" blau hervorgehoben. Die aktuell gültige Version ist dem Filename zu entnehmen</t>
  </si>
  <si>
    <t>Version</t>
  </si>
  <si>
    <t>Datum</t>
  </si>
  <si>
    <t>Beschreibung</t>
  </si>
  <si>
    <t>Jira Link zur US</t>
  </si>
  <si>
    <t>Änderung durchgeführt durch</t>
  </si>
  <si>
    <t>0.0</t>
  </si>
  <si>
    <t>Initiale Datei</t>
  </si>
  <si>
    <t> </t>
  </si>
  <si>
    <t>Björn Rödiger</t>
  </si>
  <si>
    <t>1.0</t>
  </si>
  <si>
    <t xml:space="preserve">Ein IC_13.03 sowie IC_13.03_ENUM Tab wurde hinzugefügt um die Änderungen aus dem Stammdaten Kontext zu berücksichtigen
</t>
  </si>
  <si>
    <t>Gerald Collmann</t>
  </si>
  <si>
    <t>1.1</t>
  </si>
  <si>
    <t>Das Feld "Betreuer" wurde hinzugefügt inkl. Enums dazu. Diese Feld wird erst zu einem späteren Zeitpunkt umgesetzt und ist aktuell NICHT relevant</t>
  </si>
  <si>
    <t>https://confluence.apps.evn.at/pages/viewpage.action?pageId=477200394&amp;spaceKey=PSK&amp;title=2025-03-24%2BAbstimmung%2BErweiterung%2BGP%2BUpdate%2BUpsert%2BBusiness%2BPartner</t>
  </si>
  <si>
    <t>Always all properties are sent. Properties with NULL value should be deleted form CRM dataverse</t>
  </si>
  <si>
    <t>Connection String for Service Bus DEV: Endpoint=sb-evnservicebus-prod-001/sbt-crmesint-essapisuinterfaces-dev/sbts-updatebusinesscustomer-d365</t>
  </si>
  <si>
    <t>Connection String for Service Bus BUILD: Endpoint=</t>
  </si>
  <si>
    <t>Connection String for Service Bus UAT: Endpoint=sb-evnservicebus-prod-001/sbt-crmesint-essapisuinterfaces-test/sbts-updatebusinesscustomer-d365</t>
  </si>
  <si>
    <t>Connection String for Service Bus PROD: Endpoint=</t>
  </si>
  <si>
    <t>Topic: sbt-crmesint-essapisuinterfaces</t>
  </si>
  <si>
    <r>
      <rPr>
        <b/>
        <sz val="11"/>
        <color rgb="FF000000"/>
        <rFont val="Calibri"/>
        <scheme val="minor"/>
      </rPr>
      <t>Subscription</t>
    </r>
    <r>
      <rPr>
        <sz val="11"/>
        <color rgb="FF000000"/>
        <rFont val="Calibri"/>
        <scheme val="minor"/>
      </rPr>
      <t>: sbts-upsertBusinessPartner-d365</t>
    </r>
  </si>
  <si>
    <t>Name: crmesint-operation</t>
  </si>
  <si>
    <t>Value: upsertBusinessPartner</t>
  </si>
  <si>
    <t xml:space="preserve">That is a custom property of the service bus message you will create and send.
ServiceBusMessage message = new ServiceBusMessage(content);
message.ApplicationProperties.Add(„crmesint-operation“, „xxx“);
 </t>
  </si>
  <si>
    <t>Interface Rules</t>
  </si>
  <si>
    <t>§</t>
  </si>
  <si>
    <r>
      <rPr>
        <b/>
        <sz val="11"/>
        <color theme="1"/>
        <rFont val="Calibri"/>
        <family val="2"/>
        <scheme val="minor"/>
      </rPr>
      <t>Not all</t>
    </r>
    <r>
      <rPr>
        <sz val="11"/>
        <color theme="1"/>
        <rFont val="Calibri"/>
        <family val="2"/>
        <scheme val="minor"/>
      </rPr>
      <t xml:space="preserve"> Values in Payload are transmitted as Strings, encased by ""</t>
    </r>
  </si>
  <si>
    <r>
      <rPr>
        <b/>
        <sz val="11"/>
        <color rgb="FF000000"/>
        <rFont val="Calibri"/>
      </rPr>
      <t xml:space="preserve">Date and Time </t>
    </r>
    <r>
      <rPr>
        <sz val="11"/>
        <color rgb="FF000000"/>
        <rFont val="Calibri"/>
      </rPr>
      <t xml:space="preserve">values for </t>
    </r>
    <r>
      <rPr>
        <b/>
        <sz val="11"/>
        <color rgb="FF000000"/>
        <rFont val="Calibri"/>
      </rPr>
      <t>"eventTimeStamp"</t>
    </r>
    <r>
      <rPr>
        <sz val="11"/>
        <color rgb="FF000000"/>
        <rFont val="Calibri"/>
      </rPr>
      <t xml:space="preserve"> are passed as JSON (String) Datetime format like this "2025-03-02T09:45:14.</t>
    </r>
    <r>
      <rPr>
        <b/>
        <sz val="11"/>
        <color rgb="FF000000"/>
        <rFont val="Calibri"/>
      </rPr>
      <t>509</t>
    </r>
    <r>
      <rPr>
        <sz val="11"/>
        <color rgb="FF000000"/>
        <rFont val="Calibri"/>
      </rPr>
      <t>Z")</t>
    </r>
  </si>
  <si>
    <r>
      <rPr>
        <b/>
        <sz val="11"/>
        <color rgb="FF000000"/>
        <rFont val="Calibri"/>
        <scheme val="minor"/>
      </rPr>
      <t xml:space="preserve">Date and Time </t>
    </r>
    <r>
      <rPr>
        <sz val="11"/>
        <color rgb="FF000000"/>
        <rFont val="Calibri"/>
        <scheme val="minor"/>
      </rPr>
      <t>values are passed as JSON (String) Datetime format ISO 8601 (e.g. "2017-04-13T15:51:04Z")</t>
    </r>
  </si>
  <si>
    <r>
      <rPr>
        <b/>
        <sz val="11"/>
        <color rgb="FF000000"/>
        <rFont val="Calibri"/>
        <scheme val="minor"/>
      </rPr>
      <t>Date only</t>
    </r>
    <r>
      <rPr>
        <sz val="11"/>
        <color rgb="FF000000"/>
        <rFont val="Calibri"/>
        <scheme val="minor"/>
      </rPr>
      <t xml:space="preserve"> is passed as yyyy-mm-dd</t>
    </r>
  </si>
  <si>
    <r>
      <rPr>
        <b/>
        <sz val="11"/>
        <color theme="1"/>
        <rFont val="Calibri"/>
        <family val="2"/>
        <scheme val="minor"/>
      </rPr>
      <t>Boolean</t>
    </r>
    <r>
      <rPr>
        <sz val="11"/>
        <color theme="1"/>
        <rFont val="Calibri"/>
        <family val="2"/>
        <scheme val="minor"/>
      </rPr>
      <t xml:space="preserve"> Values are passed always in the followign format true or false</t>
    </r>
  </si>
  <si>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 Values are passed as NULL</t>
    </r>
  </si>
  <si>
    <r>
      <rPr>
        <b/>
        <sz val="11"/>
        <color theme="1"/>
        <rFont val="Calibri"/>
        <family val="2"/>
        <scheme val="minor"/>
      </rPr>
      <t>Enumerated</t>
    </r>
    <r>
      <rPr>
        <sz val="11"/>
        <color theme="1"/>
        <rFont val="Calibri"/>
        <family val="2"/>
        <scheme val="minor"/>
      </rPr>
      <t xml:space="preserve"> Values are passed as Strings, exactly as presentedn in column "Enumerations"</t>
    </r>
  </si>
  <si>
    <r>
      <t xml:space="preserve">More Properties and Values are sent via the payload than necessary. </t>
    </r>
    <r>
      <rPr>
        <b/>
        <sz val="11"/>
        <color theme="1"/>
        <rFont val="Calibri"/>
        <family val="2"/>
        <scheme val="minor"/>
      </rPr>
      <t>D365 will only consider the relevant Objects, Properties and Values</t>
    </r>
    <r>
      <rPr>
        <sz val="11"/>
        <color theme="1"/>
        <rFont val="Calibri"/>
        <family val="2"/>
        <scheme val="minor"/>
      </rPr>
      <t xml:space="preserve"> that are market as such in column "BELNB D365"</t>
    </r>
  </si>
  <si>
    <r>
      <rPr>
        <b/>
        <sz val="11"/>
        <color theme="1"/>
        <rFont val="Calibri"/>
        <family val="2"/>
        <scheme val="minor"/>
      </rPr>
      <t>Decimal values</t>
    </r>
    <r>
      <rPr>
        <sz val="11"/>
        <color theme="1"/>
        <rFont val="Calibri"/>
        <family val="2"/>
        <scheme val="minor"/>
      </rPr>
      <t xml:space="preserve"> are represented as a number </t>
    </r>
    <r>
      <rPr>
        <sz val="11"/>
        <rFont val="Calibri"/>
        <family val="2"/>
        <scheme val="minor"/>
      </rPr>
      <t xml:space="preserve">with </t>
    </r>
    <r>
      <rPr>
        <b/>
        <sz val="11"/>
        <rFont val="Calibri"/>
        <family val="2"/>
        <scheme val="minor"/>
      </rPr>
      <t>decimalpoint</t>
    </r>
  </si>
  <si>
    <t xml:space="preserve">ISU 2 CRM - upsert BusinessPartner
</t>
  </si>
  <si>
    <t>"</t>
  </si>
  <si>
    <t>line</t>
  </si>
  <si>
    <t>used</t>
  </si>
  <si>
    <t>prefix</t>
  </si>
  <si>
    <t>sample value</t>
  </si>
  <si>
    <t>JSON Sample</t>
  </si>
  <si>
    <t>occurence</t>
  </si>
  <si>
    <t>EVENTMESH PAYLOAD</t>
  </si>
  <si>
    <t>Datenelement</t>
  </si>
  <si>
    <t>Datentyp</t>
  </si>
  <si>
    <t>Feldlänge/Wertebereich</t>
  </si>
  <si>
    <t>Enum</t>
  </si>
  <si>
    <t>JSON DATA TYPE (if empty=string)</t>
  </si>
  <si>
    <t>Mapping Logic from D365</t>
  </si>
  <si>
    <t>D365 Field</t>
  </si>
  <si>
    <t>Notes</t>
  </si>
  <si>
    <t>{</t>
  </si>
  <si>
    <t>2025-03-02T09:45:14.509Z</t>
  </si>
  <si>
    <t>1..1</t>
  </si>
  <si>
    <t>eventTimeStamp</t>
  </si>
  <si>
    <t>compare with existing timestamp and update only if new timestamp is after timestamp in dataverse</t>
  </si>
  <si>
    <t>ACCOUNT|evn_letzterisusync</t>
  </si>
  <si>
    <t>Field must be able to hold miliseconds!</t>
  </si>
  <si>
    <t>0..1</t>
  </si>
  <si>
    <t>businessCustomerCRMGuid</t>
  </si>
  <si>
    <t>IDNUMBER</t>
  </si>
  <si>
    <t>CHAR</t>
  </si>
  <si>
    <t>lookup and upsert</t>
  </si>
  <si>
    <t>ACCOUNT|accountid</t>
  </si>
  <si>
    <t>businessCustomerId</t>
  </si>
  <si>
    <t>PARTNER</t>
  </si>
  <si>
    <t>=</t>
  </si>
  <si>
    <t>ACCOUNT|evn_isugeschaeftspartnernummer</t>
  </si>
  <si>
    <t>authorizationGroup</t>
  </si>
  <si>
    <t>AUGRP</t>
  </si>
  <si>
    <t>yes</t>
  </si>
  <si>
    <t>External Value Of</t>
  </si>
  <si>
    <t>ACCOUNT|evn_authorisationsgruppecode</t>
  </si>
  <si>
    <t>businessCustomerType</t>
  </si>
  <si>
    <t>TYPE</t>
  </si>
  <si>
    <t>ACCOUNT|evn_geschaeftspartnerartcode</t>
  </si>
  <si>
    <t>HH</t>
  </si>
  <si>
    <t>businessCustomerCategory</t>
  </si>
  <si>
    <t>BPKIND</t>
  </si>
  <si>
    <t>ACCOUNT|evn_geschaeftspartnertypcode</t>
  </si>
  <si>
    <t>"Name": {</t>
  </si>
  <si>
    <t>salutation</t>
  </si>
  <si>
    <t>TITLE</t>
  </si>
  <si>
    <t>ENUM</t>
  </si>
  <si>
    <t>ACCOUNT|evn_anredecode</t>
  </si>
  <si>
    <t>titlePre</t>
  </si>
  <si>
    <t>TITLE_ACA1</t>
  </si>
  <si>
    <t>ACCOUNT|evn_akademischertitelvorcode</t>
  </si>
  <si>
    <t>titlePost</t>
  </si>
  <si>
    <t>TITLE_ACA2</t>
  </si>
  <si>
    <t>ACCOUNT|evn_akademischertitelnachcode</t>
  </si>
  <si>
    <t>firstName</t>
  </si>
  <si>
    <t>NAME_FIRST</t>
  </si>
  <si>
    <t>ACCOUNT|evn_vorname</t>
  </si>
  <si>
    <t>lastName</t>
  </si>
  <si>
    <t>NAME_LAST</t>
  </si>
  <si>
    <t>ACCOUNT|evn_nachname</t>
  </si>
  <si>
    <t>organisationName1</t>
  </si>
  <si>
    <t>NAME_ORG1</t>
  </si>
  <si>
    <t>ACCOUNT|evn_name1</t>
  </si>
  <si>
    <t>organisationName2</t>
  </si>
  <si>
    <t>NAME_ORG2</t>
  </si>
  <si>
    <t>ACCOUNT|evn_name2</t>
  </si>
  <si>
    <t>organisationName3</t>
  </si>
  <si>
    <t>NAME_ORG3</t>
  </si>
  <si>
    <t>ACCOUNT|evn_name3</t>
  </si>
  <si>
    <t>organisationName4</t>
  </si>
  <si>
    <t>NAME_ORG4</t>
  </si>
  <si>
    <t>ACCOUNT|evn_name4</t>
  </si>
  <si>
    <t>},</t>
  </si>
  <si>
    <t>dateOfBirth</t>
  </si>
  <si>
    <t>BIRTHDT</t>
  </si>
  <si>
    <t>YYYYMMDD</t>
  </si>
  <si>
    <t>Date</t>
  </si>
  <si>
    <t>ACCOUNT|evn_geburtsdatum</t>
  </si>
  <si>
    <t>dateOfDeath</t>
  </si>
  <si>
    <t>DEATHDT</t>
  </si>
  <si>
    <t>ACCOUNT|evn_sterbedatum</t>
  </si>
  <si>
    <t>taxNumber</t>
  </si>
  <si>
    <t>BP_DFKKBPTAXNUM[0] | TAXNUM</t>
  </si>
  <si>
    <t>TAXNUM</t>
  </si>
  <si>
    <t>ACCOUNT|evn_uidnummer</t>
  </si>
  <si>
    <t>Kein Array  - langfristig soll dies als array dargestellt werden</t>
  </si>
  <si>
    <t>taxNumberType</t>
  </si>
  <si>
    <t xml:space="preserve">BP_DFKKBPTAXNUM[0] | TAXTYPE </t>
  </si>
  <si>
    <t>TAXTYPE</t>
  </si>
  <si>
    <t>ACCOUNT|evn_steuernummerntypcode</t>
  </si>
  <si>
    <t>orgLiquidationDate</t>
  </si>
  <si>
    <t>LIQUID_DAT</t>
  </si>
  <si>
    <t>ACCOUNT|evn_liquidationsdatum</t>
  </si>
  <si>
    <t>companyRegisterNumber</t>
  </si>
  <si>
    <t>BP_BUT0ID["ZFIRMN"] | TYPE &amp; IDNUMBER</t>
  </si>
  <si>
    <t>TYPE &amp; IDNUMBER</t>
  </si>
  <si>
    <t>6 &amp; 60</t>
  </si>
  <si>
    <t>ACCOUNT|evn_firmenbuchnummer</t>
  </si>
  <si>
    <t>classification</t>
  </si>
  <si>
    <t>CLASSIFICATION</t>
  </si>
  <si>
    <t>ACCOUNT|evn_klassifizierungcode</t>
  </si>
  <si>
    <t>"BankData": [ {</t>
  </si>
  <si>
    <t>bankAccountId</t>
  </si>
  <si>
    <t>BP_BUT0BK |BKVID</t>
  </si>
  <si>
    <t>BKVID</t>
  </si>
  <si>
    <t>BANKKONTO|evn_bankkontoidjegp</t>
  </si>
  <si>
    <t>accountHolder</t>
  </si>
  <si>
    <t>BP_BUT0BK |KOINH</t>
  </si>
  <si>
    <t>KOINH</t>
  </si>
  <si>
    <t>BANKKONTO|evn_bankkontoinhaber</t>
  </si>
  <si>
    <t>internationalBankAccountNumber</t>
  </si>
  <si>
    <t>IBAN</t>
  </si>
  <si>
    <t>upsert - iban in combination with businessCustomerCRMGuid must be uniqe</t>
  </si>
  <si>
    <t>BANKKONTO|evn_iban</t>
  </si>
  <si>
    <t>bankAccountValidityStartDate</t>
  </si>
  <si>
    <t>BK_VALID_FROM</t>
  </si>
  <si>
    <t>BANKKONTO|evn_bankkontogueltigab</t>
  </si>
  <si>
    <t>bankAccountValidityEndDate</t>
  </si>
  <si>
    <t>BK_VALID_TO</t>
  </si>
  <si>
    <t>BANKKONTO|evn_bankkontogueltigbis</t>
  </si>
  <si>
    <t>}],</t>
  </si>
  <si>
    <t>"AdressData":{</t>
  </si>
  <si>
    <t>addressId</t>
  </si>
  <si>
    <t>ADDRNUMBER</t>
  </si>
  <si>
    <t>ACCOUNT | evn_isuadressereferenz</t>
  </si>
  <si>
    <t>street</t>
  </si>
  <si>
    <t>STREET</t>
  </si>
  <si>
    <t>ACCOUNT|address1_line1</t>
  </si>
  <si>
    <t>houseNumber</t>
  </si>
  <si>
    <t>HOUSE_NUM1</t>
  </si>
  <si>
    <t>ACCOUNT|evn_hausnummer</t>
  </si>
  <si>
    <t>houseNumberSupplement</t>
  </si>
  <si>
    <t>HOUSE_NUM2</t>
  </si>
  <si>
    <t>ACCOUNT|evn_hausnummerergaenzung</t>
  </si>
  <si>
    <t>postalCode</t>
  </si>
  <si>
    <t>POST_CODE1</t>
  </si>
  <si>
    <t>ACCOUNT|address1_postalcode</t>
  </si>
  <si>
    <t>city</t>
  </si>
  <si>
    <t>CITY1</t>
  </si>
  <si>
    <t>ACCOUNT|address1_city</t>
  </si>
  <si>
    <t>region</t>
  </si>
  <si>
    <t>REGION</t>
  </si>
  <si>
    <t>ACCOUNT|evn_regioncode</t>
  </si>
  <si>
    <t>country</t>
  </si>
  <si>
    <t>COUNTRY</t>
  </si>
  <si>
    <t>ACCOUNT|evn_landcode</t>
  </si>
  <si>
    <t>district</t>
  </si>
  <si>
    <t>CITY2</t>
  </si>
  <si>
    <t>ACCOUNT|evn_ortsteil</t>
  </si>
  <si>
    <t>poBox</t>
  </si>
  <si>
    <t>PO_BOX</t>
  </si>
  <si>
    <t>ACCOUNT|evn_postfach</t>
  </si>
  <si>
    <t>poBoxPostalCode</t>
  </si>
  <si>
    <t>POST_CODE2</t>
  </si>
  <si>
    <t>ACCOUNT|evn_postfachplz</t>
  </si>
  <si>
    <t>poBoxPostalCity</t>
  </si>
  <si>
    <t>PO_BOX_LOC</t>
  </si>
  <si>
    <t>ACCOUNT|evn_postfachort</t>
  </si>
  <si>
    <t>poBoxPostalRegion</t>
  </si>
  <si>
    <t>PO_BOX_REG</t>
  </si>
  <si>
    <t>ACCOUNT|evn_postfachregioncode</t>
  </si>
  <si>
    <t>poBoxPostalCountry</t>
  </si>
  <si>
    <t>PO_BOX_CTY</t>
  </si>
  <si>
    <t>ACCOUNT|evn_postfachlandcode</t>
  </si>
  <si>
    <t>industry</t>
  </si>
  <si>
    <t>BP_BUT0IS |IND_SECTOR</t>
  </si>
  <si>
    <t>IND_SECTOR</t>
  </si>
  <si>
    <t>Yes</t>
  </si>
  <si>
    <t xml:space="preserve"> ACCOUNT|evn_oenacecodecode</t>
  </si>
  <si>
    <t>}</t>
  </si>
  <si>
    <t>Choice Name</t>
  </si>
  <si>
    <t>Choice Value</t>
  </si>
  <si>
    <t>Beschreibung (field in Interface Mapping)</t>
  </si>
  <si>
    <t>Interface Value</t>
  </si>
  <si>
    <t>Comment</t>
  </si>
  <si>
    <t>0001 = Frau (Person)</t>
  </si>
  <si>
    <t>0001</t>
  </si>
  <si>
    <t>0002 = Herr (Person)</t>
  </si>
  <si>
    <t>0002</t>
  </si>
  <si>
    <t>0003 = Firma (Orga)</t>
  </si>
  <si>
    <t>0003</t>
  </si>
  <si>
    <t>0005 = Divers (Person)</t>
  </si>
  <si>
    <t>0005</t>
  </si>
  <si>
    <t>0006 = NULL</t>
  </si>
  <si>
    <t>0006</t>
  </si>
  <si>
    <t>0007 = Verlassenschaft nach (Person/Orga)</t>
  </si>
  <si>
    <t>0007</t>
  </si>
  <si>
    <t>Z001      Amtsdirektor</t>
  </si>
  <si>
    <t>Z001</t>
  </si>
  <si>
    <t>Z002      Amtsrat</t>
  </si>
  <si>
    <t>Z002</t>
  </si>
  <si>
    <t>Z003      Arch.</t>
  </si>
  <si>
    <t>Z003</t>
  </si>
  <si>
    <t>Z004      Arch. Baumeister</t>
  </si>
  <si>
    <t>Z004</t>
  </si>
  <si>
    <t>Z005      Arch. Dipl. Ing.</t>
  </si>
  <si>
    <t>Z005</t>
  </si>
  <si>
    <t>Z006      Arch. Dipl. Ing. Dr</t>
  </si>
  <si>
    <t>Z006</t>
  </si>
  <si>
    <t>Z007      Arch. Mag.</t>
  </si>
  <si>
    <t>Z007</t>
  </si>
  <si>
    <t>Z008      Baumeister</t>
  </si>
  <si>
    <t>Z008</t>
  </si>
  <si>
    <t>Z009      Bmstr. Dipl. Ing.</t>
  </si>
  <si>
    <t>Z009</t>
  </si>
  <si>
    <t>Z010      Bmstr. Ing.</t>
  </si>
  <si>
    <t>Z010</t>
  </si>
  <si>
    <t>Z011      Bürgermeister</t>
  </si>
  <si>
    <t>Z011</t>
  </si>
  <si>
    <t>Z012      DDr.</t>
  </si>
  <si>
    <t>Z012</t>
  </si>
  <si>
    <t>Z013      DI DI</t>
  </si>
  <si>
    <t>Z013</t>
  </si>
  <si>
    <t>Z014      Dipl. HTL Ing.</t>
  </si>
  <si>
    <t>Z014</t>
  </si>
  <si>
    <t>Z015      Dipl. Inf. (FH)</t>
  </si>
  <si>
    <t>Z015</t>
  </si>
  <si>
    <t>Z016      Dipl. Päd. Ing.</t>
  </si>
  <si>
    <t>Z016</t>
  </si>
  <si>
    <t>Z017      Dipl. Tierarzt</t>
  </si>
  <si>
    <t>Z017</t>
  </si>
  <si>
    <t>Z018      Dipl. Volksw.</t>
  </si>
  <si>
    <t>Z018</t>
  </si>
  <si>
    <t>Z019      Dipl.-Wirt.-Ing.(FH</t>
  </si>
  <si>
    <t>Z019</t>
  </si>
  <si>
    <t>Z020      Dipl.-Bw.</t>
  </si>
  <si>
    <t>Z020</t>
  </si>
  <si>
    <t>Z021      Dipl.-Dolm.</t>
  </si>
  <si>
    <t>Z021</t>
  </si>
  <si>
    <t>Z023      Dipl. Ing.</t>
  </si>
  <si>
    <t>Z023</t>
  </si>
  <si>
    <t>Z025      Dipl. Ing. (FH)</t>
  </si>
  <si>
    <t>Z025</t>
  </si>
  <si>
    <t>Z026      Dipl. Ing. DDr</t>
  </si>
  <si>
    <t>Z026</t>
  </si>
  <si>
    <t>Z027      Dipl. Ing. Dr.</t>
  </si>
  <si>
    <t>Z027</t>
  </si>
  <si>
    <t>Z028      Dipl. Ing. Ing.</t>
  </si>
  <si>
    <t>Z028</t>
  </si>
  <si>
    <t>Z029      Dipl.-Kfm. Mag.</t>
  </si>
  <si>
    <t>Z029</t>
  </si>
  <si>
    <t>Z030      Dipl.-Päd.</t>
  </si>
  <si>
    <t>Z030</t>
  </si>
  <si>
    <t>Z031      Dipl.PT</t>
  </si>
  <si>
    <t>Z031</t>
  </si>
  <si>
    <t>Z032      Dipl.Verw.Wirt (FH)</t>
  </si>
  <si>
    <t>Z032</t>
  </si>
  <si>
    <t>Z033      Diplom-Fachwirt</t>
  </si>
  <si>
    <t>Z033</t>
  </si>
  <si>
    <t>Z034      Diplom-Volkswirt</t>
  </si>
  <si>
    <t>Z034</t>
  </si>
  <si>
    <t>Z035      Dir.</t>
  </si>
  <si>
    <t>Z035</t>
  </si>
  <si>
    <t>Z036      Dir. Mag.</t>
  </si>
  <si>
    <t>Z036</t>
  </si>
  <si>
    <t>Z037      Dkfm.</t>
  </si>
  <si>
    <t>Z037</t>
  </si>
  <si>
    <t>Z038      Dkfm. Dr.</t>
  </si>
  <si>
    <t>Z038</t>
  </si>
  <si>
    <t>Z039      Dkfm. Ing. Dr.</t>
  </si>
  <si>
    <t>Z039</t>
  </si>
  <si>
    <t>Z040      Dr.</t>
  </si>
  <si>
    <t>Z040</t>
  </si>
  <si>
    <t>Z041      Dr. Ing.</t>
  </si>
  <si>
    <t>Z041</t>
  </si>
  <si>
    <t>Z042      Dr. Mag.</t>
  </si>
  <si>
    <t>Z042</t>
  </si>
  <si>
    <t>Z043      Dr.med.univ.</t>
  </si>
  <si>
    <t>Z043</t>
  </si>
  <si>
    <t>Z044      Gen.-Dir.</t>
  </si>
  <si>
    <t>Z044</t>
  </si>
  <si>
    <t>Z045      Gen.-Dir. Dkfm.</t>
  </si>
  <si>
    <t>Z045</t>
  </si>
  <si>
    <t>Z046      Gen.-Dir. Dlng.</t>
  </si>
  <si>
    <t>Z046</t>
  </si>
  <si>
    <t>Z047      Gen.-Dir. Dr.</t>
  </si>
  <si>
    <t>Z047</t>
  </si>
  <si>
    <t>Z048      Hofrat</t>
  </si>
  <si>
    <t>Z048</t>
  </si>
  <si>
    <t>Z049      Hofrat Dipl. Ing.</t>
  </si>
  <si>
    <t>Z049</t>
  </si>
  <si>
    <t>Z050      Hofrat Dr.</t>
  </si>
  <si>
    <t>Z050</t>
  </si>
  <si>
    <t>Z051      Hofrat Mag.</t>
  </si>
  <si>
    <t>Z051</t>
  </si>
  <si>
    <t>Z052      Hofrat Prof.</t>
  </si>
  <si>
    <t>Z052</t>
  </si>
  <si>
    <t>Z053      Ing.</t>
  </si>
  <si>
    <t>Z053</t>
  </si>
  <si>
    <t>Z054      Ing. Bmstr.</t>
  </si>
  <si>
    <t>Z054</t>
  </si>
  <si>
    <t>Z055      Ing. Dr.</t>
  </si>
  <si>
    <t>Z055</t>
  </si>
  <si>
    <t>Z056      Ing. Ing.</t>
  </si>
  <si>
    <t>Z056</t>
  </si>
  <si>
    <t>Z057      Ing. Mag.</t>
  </si>
  <si>
    <t>Z057</t>
  </si>
  <si>
    <t>Z058      Ing. Mag. (FH)</t>
  </si>
  <si>
    <t>Z058</t>
  </si>
  <si>
    <t>Z059      Ing. Mag. Dr.</t>
  </si>
  <si>
    <t>Z059</t>
  </si>
  <si>
    <t>Z060      Ing. MMag.</t>
  </si>
  <si>
    <t>Z060</t>
  </si>
  <si>
    <t>Z061      Komm. Rat</t>
  </si>
  <si>
    <t>Z061</t>
  </si>
  <si>
    <t>Z062      Komm.Rat Mag. Dr.</t>
  </si>
  <si>
    <t>Z062</t>
  </si>
  <si>
    <t>Z063      Konsul Ingenieur</t>
  </si>
  <si>
    <t>Z063</t>
  </si>
  <si>
    <t>Z064      Labg.</t>
  </si>
  <si>
    <t>Z064</t>
  </si>
  <si>
    <t>Z065      Mag.</t>
  </si>
  <si>
    <t>Z065</t>
  </si>
  <si>
    <t>Z066      Mag. (FH)</t>
  </si>
  <si>
    <t>Z066</t>
  </si>
  <si>
    <t>Z067      Mag. DDr.</t>
  </si>
  <si>
    <t>Z067</t>
  </si>
  <si>
    <t>Z068      Mag. Dipl. Ing.</t>
  </si>
  <si>
    <t>Z068</t>
  </si>
  <si>
    <t>Z069      Mag. Dr.</t>
  </si>
  <si>
    <t>Z069</t>
  </si>
  <si>
    <t>Z070      Mag. Ing. Dr.</t>
  </si>
  <si>
    <t>Z070</t>
  </si>
  <si>
    <t>Z071      Mag. Pharm.</t>
  </si>
  <si>
    <t>Z071</t>
  </si>
  <si>
    <t>Z072      Mag. Phil.</t>
  </si>
  <si>
    <t>Z072</t>
  </si>
  <si>
    <t>Z073      Med.Rat Dr.</t>
  </si>
  <si>
    <t>Z073</t>
  </si>
  <si>
    <t>Z074      Min.Rat</t>
  </si>
  <si>
    <t>Z074</t>
  </si>
  <si>
    <t>Z075      Min.Rat Dr.</t>
  </si>
  <si>
    <t>Z075</t>
  </si>
  <si>
    <t>Z076      MMag.</t>
  </si>
  <si>
    <t>Z076</t>
  </si>
  <si>
    <t>Z077      MMag. Dr.</t>
  </si>
  <si>
    <t>Z077</t>
  </si>
  <si>
    <t>Z078      MStr.</t>
  </si>
  <si>
    <t>Z078</t>
  </si>
  <si>
    <t>Z079      OA Dr.</t>
  </si>
  <si>
    <t>Z079</t>
  </si>
  <si>
    <t>Z080      OAmtsrat</t>
  </si>
  <si>
    <t>Z080</t>
  </si>
  <si>
    <t>Z081      Oberst</t>
  </si>
  <si>
    <t>Z081</t>
  </si>
  <si>
    <t>Z082      Oberstleutnant</t>
  </si>
  <si>
    <t>Z082</t>
  </si>
  <si>
    <t>Z083      Ök. Rat</t>
  </si>
  <si>
    <t>Z083</t>
  </si>
  <si>
    <t>Z084      Omed.Rat Dr.</t>
  </si>
  <si>
    <t>Z084</t>
  </si>
  <si>
    <t>Z085      OStR</t>
  </si>
  <si>
    <t>Z085</t>
  </si>
  <si>
    <t>Z086      OStR Mag.</t>
  </si>
  <si>
    <t>Z086</t>
  </si>
  <si>
    <t>Z087      Pfarrer</t>
  </si>
  <si>
    <t>Z087</t>
  </si>
  <si>
    <t>Z088      Prälat</t>
  </si>
  <si>
    <t>Z088</t>
  </si>
  <si>
    <t>Z089      Prim. Dr.</t>
  </si>
  <si>
    <t>Z089</t>
  </si>
  <si>
    <t>Z090      Priv.-Doz. Dr.phil.</t>
  </si>
  <si>
    <t>Z090</t>
  </si>
  <si>
    <t>Z091      Prof.</t>
  </si>
  <si>
    <t>Z091</t>
  </si>
  <si>
    <t>Z092      Prof. Dipl. Ing.</t>
  </si>
  <si>
    <t>Z092</t>
  </si>
  <si>
    <t>Z093      Prof. Dipl. Ing. Dr.</t>
  </si>
  <si>
    <t>Z093</t>
  </si>
  <si>
    <t>Z094      Prof. Dkfm.</t>
  </si>
  <si>
    <t>Z094</t>
  </si>
  <si>
    <t>Z095      Prof. Dr.</t>
  </si>
  <si>
    <t>Z095</t>
  </si>
  <si>
    <t>Z096      Prof. Dr. Dipl. Ing.</t>
  </si>
  <si>
    <t>Z096</t>
  </si>
  <si>
    <t>Z097      Prof. Ing.</t>
  </si>
  <si>
    <t>Z097</t>
  </si>
  <si>
    <t>Z098      Prof. Mag.</t>
  </si>
  <si>
    <t>Z098</t>
  </si>
  <si>
    <t>Z099      Prokurist</t>
  </si>
  <si>
    <t>Z099</t>
  </si>
  <si>
    <t>Z100      Reg. Rat</t>
  </si>
  <si>
    <t>Z100</t>
  </si>
  <si>
    <t>Z101      Reg. Rat Ing.</t>
  </si>
  <si>
    <t>Z101</t>
  </si>
  <si>
    <t>Z102      Schulrat</t>
  </si>
  <si>
    <t>Z102</t>
  </si>
  <si>
    <t>Z103      Univ. Doz. DI. Dr.</t>
  </si>
  <si>
    <t>Z103</t>
  </si>
  <si>
    <t>Z104      Univ. Doz. Dr.</t>
  </si>
  <si>
    <t>Z104</t>
  </si>
  <si>
    <t>Z105      Univ. Prof. Dr.</t>
  </si>
  <si>
    <t>Z105</t>
  </si>
  <si>
    <t>Z106      Vet. Rat. Dr.</t>
  </si>
  <si>
    <t>Z106</t>
  </si>
  <si>
    <t>Z01  MA</t>
  </si>
  <si>
    <t>ZZ01</t>
  </si>
  <si>
    <t>Z02  MSc</t>
  </si>
  <si>
    <t>ZZ02</t>
  </si>
  <si>
    <t>Z03  BA</t>
  </si>
  <si>
    <t>ZZ03</t>
  </si>
  <si>
    <t>Z04  BSc</t>
  </si>
  <si>
    <t>ZZ04</t>
  </si>
  <si>
    <t>Z05  PhD</t>
  </si>
  <si>
    <t>ZZ05</t>
  </si>
  <si>
    <t>Z06  Dr. rer. nat.</t>
  </si>
  <si>
    <t>ZZ06</t>
  </si>
  <si>
    <t>Z07  Dr. techn.</t>
  </si>
  <si>
    <t>ZZ07</t>
  </si>
  <si>
    <t>Z08  Dr. rer. soc. oec.</t>
  </si>
  <si>
    <t>ZZ08</t>
  </si>
  <si>
    <t>Z09  Dr. med.Gs</t>
  </si>
  <si>
    <t>ZZ09</t>
  </si>
  <si>
    <t>Z10  Dr. med. vet.</t>
  </si>
  <si>
    <t>ZZ10</t>
  </si>
  <si>
    <t>Z11  Dr. med. dent.</t>
  </si>
  <si>
    <t>ZZ11</t>
  </si>
  <si>
    <t>Z12  Dr. theol.</t>
  </si>
  <si>
    <t>ZZ12</t>
  </si>
  <si>
    <t>Z13  Dr. iur.</t>
  </si>
  <si>
    <t>ZZ13</t>
  </si>
  <si>
    <t>Z14  DBA</t>
  </si>
  <si>
    <t>ZZ14</t>
  </si>
  <si>
    <t>Z15  EdD</t>
  </si>
  <si>
    <t>ZZ15</t>
  </si>
  <si>
    <t>evn_oenatcecodecode</t>
  </si>
  <si>
    <t>Anbau ein- und zweijähriger Pflanzen</t>
  </si>
  <si>
    <t>011</t>
  </si>
  <si>
    <t>Anbau mehrjähriger Pflanzen</t>
  </si>
  <si>
    <t>012</t>
  </si>
  <si>
    <t>Betrieb von Baumschulen sowie Anbau von Pflanzen zu Vermehrungszwecken</t>
  </si>
  <si>
    <t>013</t>
  </si>
  <si>
    <t>Tierhaltung</t>
  </si>
  <si>
    <t>014</t>
  </si>
  <si>
    <t>Gemischte Landwirtschaft</t>
  </si>
  <si>
    <t>015</t>
  </si>
  <si>
    <t>Erbringung von landwirtschaftlichen Dienstleistungen und nach der Ernte anfallende Tätigkeiten</t>
  </si>
  <si>
    <t>016</t>
  </si>
  <si>
    <t>Jagd, Fallenstellerei und damit verbundene Tätigkeiten</t>
  </si>
  <si>
    <t>017</t>
  </si>
  <si>
    <t>Forstwirtschaft</t>
  </si>
  <si>
    <t>021</t>
  </si>
  <si>
    <t>Holzeinschlag</t>
  </si>
  <si>
    <t>022</t>
  </si>
  <si>
    <t>Sammeln von wildwachsenden Produkten, ohne Holz</t>
  </si>
  <si>
    <t>023</t>
  </si>
  <si>
    <t>Erbringung von Dienstleistungen für Forstwirtschaft und Holzeinschlag</t>
  </si>
  <si>
    <t>024</t>
  </si>
  <si>
    <t>Fischerei</t>
  </si>
  <si>
    <t>031</t>
  </si>
  <si>
    <t>Aquakultur</t>
  </si>
  <si>
    <t>032</t>
  </si>
  <si>
    <t>Erbringung von Dienstleistungen für Fischerei und Aquakultur</t>
  </si>
  <si>
    <t>033</t>
  </si>
  <si>
    <t>Steinkohlenbergbau</t>
  </si>
  <si>
    <t>051</t>
  </si>
  <si>
    <t>Braunkohlenbergbau</t>
  </si>
  <si>
    <t>052</t>
  </si>
  <si>
    <t>Gewinnung von Erdöl</t>
  </si>
  <si>
    <t>061</t>
  </si>
  <si>
    <t>Gewinnung von Erdgas</t>
  </si>
  <si>
    <t>062</t>
  </si>
  <si>
    <t>Eisenerzbergbau</t>
  </si>
  <si>
    <t>071</t>
  </si>
  <si>
    <t>NE-Metallerzbergbau</t>
  </si>
  <si>
    <t>072</t>
  </si>
  <si>
    <t>Gewinnung von Natursteinen, Kies, Sand, Ton und Kaolin</t>
  </si>
  <si>
    <t>081</t>
  </si>
  <si>
    <t>Sonstiger Bergbau; Gewinnung von Steinen und Erden a.n.g.</t>
  </si>
  <si>
    <t>089</t>
  </si>
  <si>
    <t>Erbringung von Dienstleistungen für die Gewinnung von Erdöl und Erdgas</t>
  </si>
  <si>
    <t>091</t>
  </si>
  <si>
    <t>Erbringung von Dienstleistungen für den sonstigen Bergbau und die Gewinnung von Steinen und Erden</t>
  </si>
  <si>
    <t>099</t>
  </si>
  <si>
    <t>Schlachten und Fleischverarbeitung</t>
  </si>
  <si>
    <t>101</t>
  </si>
  <si>
    <t>Fischverarbeitung</t>
  </si>
  <si>
    <t>102</t>
  </si>
  <si>
    <t>Obst- und Gemüseverarbeitung</t>
  </si>
  <si>
    <t>103</t>
  </si>
  <si>
    <t>Herstellung von pflanzlichen und tierischen Ölen und Fetten</t>
  </si>
  <si>
    <t>104</t>
  </si>
  <si>
    <t>Herstellung von Milcherzeugnissen und Speiseeis</t>
  </si>
  <si>
    <t>105</t>
  </si>
  <si>
    <t>Mahl- und Schälmühlen, Herstellung von Stärke und Stärkeerzeugnissen</t>
  </si>
  <si>
    <t>106</t>
  </si>
  <si>
    <t>Herstellung von Back- und Teigwaren</t>
  </si>
  <si>
    <t>107</t>
  </si>
  <si>
    <t>Herstellung von sonstigen Nahrungsmitteln</t>
  </si>
  <si>
    <t>108</t>
  </si>
  <si>
    <t>Herstellung von Futtermitteln</t>
  </si>
  <si>
    <t>109</t>
  </si>
  <si>
    <t>Getränkeherstellung</t>
  </si>
  <si>
    <t>110</t>
  </si>
  <si>
    <t>Tabakverarbeitung</t>
  </si>
  <si>
    <t>120</t>
  </si>
  <si>
    <t>Spinnstoffaufbereitung und Spinnerei</t>
  </si>
  <si>
    <t>131</t>
  </si>
  <si>
    <t>Weberei</t>
  </si>
  <si>
    <t>132</t>
  </si>
  <si>
    <t>Veredlung von Textilien und Bekleidung</t>
  </si>
  <si>
    <t>133</t>
  </si>
  <si>
    <t>Herstellung von sonstigen Textilwaren</t>
  </si>
  <si>
    <t>139</t>
  </si>
  <si>
    <t>Herstellung von Bekleidung aus gewirktem und gestricktem Stoff</t>
  </si>
  <si>
    <t>141</t>
  </si>
  <si>
    <t>Herstellung von sonstiger Bekleidung und Bekleidungszubehör</t>
  </si>
  <si>
    <t>142</t>
  </si>
  <si>
    <t>Gerben, Färben, Zurichten von Leder und Fellen; Herstellung von Reisegepäck, Handtaschen, Sattlerwaren und Geschirren</t>
  </si>
  <si>
    <t>151</t>
  </si>
  <si>
    <t>Herstellung von Schuhen</t>
  </si>
  <si>
    <t>152</t>
  </si>
  <si>
    <t>Säge-, Hobel- und Holzimprägnierwerke; Bearbeitung und Veredlung von Holz</t>
  </si>
  <si>
    <t>161</t>
  </si>
  <si>
    <t>Herstellung von sonstigen Holz-, Kork-, Flecht- und Korbwaren</t>
  </si>
  <si>
    <t>162</t>
  </si>
  <si>
    <t>Herstellung von Holz- und Zellstoff, Papier, Karton und Pappe</t>
  </si>
  <si>
    <t>171</t>
  </si>
  <si>
    <t>Herstellung von Waren aus Papier, Karton und Pappe</t>
  </si>
  <si>
    <t>172</t>
  </si>
  <si>
    <t>Herstellung von Druckerzeugnissen</t>
  </si>
  <si>
    <t>181</t>
  </si>
  <si>
    <t>Vervielfältigung von bespielten Ton-, Bild- und Datenträgern</t>
  </si>
  <si>
    <t>182</t>
  </si>
  <si>
    <t>Kokerei</t>
  </si>
  <si>
    <t>191</t>
  </si>
  <si>
    <t>Herstellung von Mineralölerzeugnissen und von fossilen Brennstoffen</t>
  </si>
  <si>
    <t>192</t>
  </si>
  <si>
    <t>Herstellung von chemischen Grundstoffen, Düngemitteln und Stickstoffverbindungen, Kunststoffen in Primärformen und synthetischem Kautschuk in Primärformen</t>
  </si>
  <si>
    <t>201</t>
  </si>
  <si>
    <t>Herstellung von Schädlingsbekämpfungs-, Pflanzenschutz- und Desinfektionsmitteln</t>
  </si>
  <si>
    <t>202</t>
  </si>
  <si>
    <t>Herstellung von Anstrichmitteln, Druckfarben und Kitten</t>
  </si>
  <si>
    <t>203</t>
  </si>
  <si>
    <t>Herstellung von Wasch-, Reinigungs- und Poliermitteln</t>
  </si>
  <si>
    <t>204</t>
  </si>
  <si>
    <t>Herstellung von sonstigen chemischen Erzeugnissen</t>
  </si>
  <si>
    <t>205</t>
  </si>
  <si>
    <t>Herstellung von Chemiefasern</t>
  </si>
  <si>
    <t>206</t>
  </si>
  <si>
    <t>Herstellung von pharmazeutischen Grundstoffen</t>
  </si>
  <si>
    <t>211</t>
  </si>
  <si>
    <t>Herstellung von pharmazeutischen Spezialitäten und sonstigen pharmazeutischen Erzeugnissen</t>
  </si>
  <si>
    <t>212</t>
  </si>
  <si>
    <t>Herstellung von Gummiwaren</t>
  </si>
  <si>
    <t>221</t>
  </si>
  <si>
    <t>Herstellung von Kunststoffwaren</t>
  </si>
  <si>
    <t>222</t>
  </si>
  <si>
    <t>Herstellung von Glas und Glaswaren</t>
  </si>
  <si>
    <t>231</t>
  </si>
  <si>
    <t>Herstellung von feuerfesten keramischen Werkstoffen und Waren</t>
  </si>
  <si>
    <t>232</t>
  </si>
  <si>
    <t>Herstellung von keramischen Baumaterialien</t>
  </si>
  <si>
    <t>233</t>
  </si>
  <si>
    <t>Herstellung von sonstigen Porzellan- und keramischen Erzeugnissen</t>
  </si>
  <si>
    <t>234</t>
  </si>
  <si>
    <t>Herstellung von Zement, Kalk und gebranntem Gips</t>
  </si>
  <si>
    <t>235</t>
  </si>
  <si>
    <t>Herstellung von Erzeugnissen aus Beton, Zement und Gips</t>
  </si>
  <si>
    <t>236</t>
  </si>
  <si>
    <t>Be- und Verarbeitung von Naturwerksteinen und Natursteinen a.n.g.</t>
  </si>
  <si>
    <t>237</t>
  </si>
  <si>
    <t>Herstellung von Schleifkörpern und Schleifmitteln auf Unterlage sowie sonstigen Erzeugnissen aus nichtmetallischen Mineralien a.n.g.</t>
  </si>
  <si>
    <t>239</t>
  </si>
  <si>
    <t>Erzeugung von Roheisen, Stahl und Ferrolegierungen</t>
  </si>
  <si>
    <t>241</t>
  </si>
  <si>
    <t>Herstellung von Stahlrohren, Rohrform-, Rohrverschluss- und Rohrverbindungsstücken aus Stahl</t>
  </si>
  <si>
    <t>242</t>
  </si>
  <si>
    <t>Sonstige erste Bearbeitung von Eisen und Stahl</t>
  </si>
  <si>
    <t>243</t>
  </si>
  <si>
    <t>Erzeugung und erste Bearbeitung von NE-Metallen</t>
  </si>
  <si>
    <t>244</t>
  </si>
  <si>
    <t>Gießereien</t>
  </si>
  <si>
    <t>245</t>
  </si>
  <si>
    <t>Stahl- und Leichtmetallbau</t>
  </si>
  <si>
    <t>251</t>
  </si>
  <si>
    <t>Herstellung von Metalltanks und -behältern</t>
  </si>
  <si>
    <t>252</t>
  </si>
  <si>
    <t>Herstellung von Waffen und Munition</t>
  </si>
  <si>
    <t>253</t>
  </si>
  <si>
    <t>Herstellung von Schmiede-, Press-, Zieh- und Stanzteilen und pulvermetallurgischen Erzeugnissen</t>
  </si>
  <si>
    <t>254</t>
  </si>
  <si>
    <t>Oberflächenveredlung und Wärmebehandlung; Metallbearbeitung a.n.g.</t>
  </si>
  <si>
    <t>255</t>
  </si>
  <si>
    <t>Herstellung von Schneidwaren, Werkzeugen, Schlössern und Beschlägen aus unedlen Metallen</t>
  </si>
  <si>
    <t>256</t>
  </si>
  <si>
    <t>Herstellung von sonstigen Metallwaren</t>
  </si>
  <si>
    <t>259</t>
  </si>
  <si>
    <t>Herstellung von elektronischen Bauelementen und Leiterplatten</t>
  </si>
  <si>
    <t>261</t>
  </si>
  <si>
    <t>Herstellung von Datenverarbeitungsgeräten und peripheren Geräten</t>
  </si>
  <si>
    <t>262</t>
  </si>
  <si>
    <t>Herstellung von Geräten und Einrichtungen der Telekommunikationstechnik</t>
  </si>
  <si>
    <t>263</t>
  </si>
  <si>
    <t>Herstellung von Geräten der Unterhaltungselektronik</t>
  </si>
  <si>
    <t>264</t>
  </si>
  <si>
    <t>Herstellung von Mess- und Kontrollinstrumenten sowie von Uhren</t>
  </si>
  <si>
    <t>265</t>
  </si>
  <si>
    <t>Herstellung von Bestrahlungs- und Elektrotherapiegeräten und elektromedizinischen Geräten</t>
  </si>
  <si>
    <t>266</t>
  </si>
  <si>
    <t>Herstellung von optischen und fotografischen Instrumenten und Geräten sowie von magnetischen und optischen Datenträgern</t>
  </si>
  <si>
    <t>267</t>
  </si>
  <si>
    <t>Herstellung von Elektromotoren, Generatoren, Transformatoren, Elektrizitätsverteilungs- und -schalteinrichtungen</t>
  </si>
  <si>
    <t>271</t>
  </si>
  <si>
    <t>Herstellung von Batterien und Akkumulatoren</t>
  </si>
  <si>
    <t>272</t>
  </si>
  <si>
    <t>Herstellung von Kabeln und elektrischem Installationsmaterial</t>
  </si>
  <si>
    <t>273</t>
  </si>
  <si>
    <t>Herstellung von Lampen und Leuchten</t>
  </si>
  <si>
    <t>274</t>
  </si>
  <si>
    <t>Herstellung von Haushaltsgeräten</t>
  </si>
  <si>
    <t>275</t>
  </si>
  <si>
    <t>Herstellung von sonstigen elektrischen Ausrüstungen und Geräten</t>
  </si>
  <si>
    <t>279</t>
  </si>
  <si>
    <t>Herstellung von nicht wirtschaftszweigspezifischen Maschinen</t>
  </si>
  <si>
    <t>281</t>
  </si>
  <si>
    <t>Herstellung von sonstigen nicht wirtschaftszweigspezifischen Maschinen</t>
  </si>
  <si>
    <t>282</t>
  </si>
  <si>
    <t>Herstellung von land- und forstwirtschaftlichen Maschinen</t>
  </si>
  <si>
    <t>283</t>
  </si>
  <si>
    <t>Herstellung von Werkzeugmaschinen</t>
  </si>
  <si>
    <t>284</t>
  </si>
  <si>
    <t>Herstellung von Maschinen für sonstige bestimmte Wirtschaftszweige</t>
  </si>
  <si>
    <t>289</t>
  </si>
  <si>
    <t>Herstellung von Kraftwagen und Kraftwagenmotoren</t>
  </si>
  <si>
    <t>291</t>
  </si>
  <si>
    <t>Herstellung von Karosserien, Aufbauten und Anhängern</t>
  </si>
  <si>
    <t>292</t>
  </si>
  <si>
    <t>Herstellung von Teilen und Zubehör für Kraftwagen</t>
  </si>
  <si>
    <t>293</t>
  </si>
  <si>
    <t>Schiff- und Bootsbau</t>
  </si>
  <si>
    <t>301</t>
  </si>
  <si>
    <t>Schienenfahrzeugbau</t>
  </si>
  <si>
    <t>302</t>
  </si>
  <si>
    <t>Luft- und Raumfahrzeugbau</t>
  </si>
  <si>
    <t>303</t>
  </si>
  <si>
    <t>Herstellung von militärischen Kampffahrzeugen</t>
  </si>
  <si>
    <t>304</t>
  </si>
  <si>
    <t>Herstellung von Beförderungsmitteln a.n.g.</t>
  </si>
  <si>
    <t>309</t>
  </si>
  <si>
    <t>Herstellung von Möbeln</t>
  </si>
  <si>
    <t>310</t>
  </si>
  <si>
    <t>Herstellung von Münzen, Schmuck und ähnlichen Erzeugnissen</t>
  </si>
  <si>
    <t>321</t>
  </si>
  <si>
    <t>Herstellung von Musikinstrumenten</t>
  </si>
  <si>
    <t>322</t>
  </si>
  <si>
    <t>Herstellung von Sportgeräten</t>
  </si>
  <si>
    <t>323</t>
  </si>
  <si>
    <t>Herstellung von Spielwaren</t>
  </si>
  <si>
    <t>324</t>
  </si>
  <si>
    <t>Herstellung von medizinischen und zahnmedizinischen Apparaten und Materialien</t>
  </si>
  <si>
    <t>325</t>
  </si>
  <si>
    <t>Herstellung von Erzeugnissen a.n.g.</t>
  </si>
  <si>
    <t>329</t>
  </si>
  <si>
    <t>Reparatur und Instandhaltung von Metallerzeugnissen, Maschinen und Ausrüstungen</t>
  </si>
  <si>
    <t>331</t>
  </si>
  <si>
    <t>Installation von Industriemaschinen und -ausrüstungen</t>
  </si>
  <si>
    <t>332</t>
  </si>
  <si>
    <t>Elektrizitätsversorgung</t>
  </si>
  <si>
    <t>351</t>
  </si>
  <si>
    <t>Gasversorgung</t>
  </si>
  <si>
    <t>352</t>
  </si>
  <si>
    <t>Wärme- und Kälteversorgung</t>
  </si>
  <si>
    <t>353</t>
  </si>
  <si>
    <t>Tätigkeiten von Strom- und Erdgasmaklerinnen und -maklern</t>
  </si>
  <si>
    <t>354</t>
  </si>
  <si>
    <t>Wasserversorgung</t>
  </si>
  <si>
    <t>360</t>
  </si>
  <si>
    <t>Abwasserentsorgung</t>
  </si>
  <si>
    <t>370</t>
  </si>
  <si>
    <t>Sammlung von Abfällen</t>
  </si>
  <si>
    <t>381</t>
  </si>
  <si>
    <t>Verwertung von Abfällen</t>
  </si>
  <si>
    <t>382</t>
  </si>
  <si>
    <t>Abfallbeseitigung ohne Verwertung</t>
  </si>
  <si>
    <t>383</t>
  </si>
  <si>
    <t>Beseitigung von Umweltverschmutzungen und sonstige Tätigkeiten in der Abfallbewirtschaftung</t>
  </si>
  <si>
    <t>390</t>
  </si>
  <si>
    <t>Hochbau</t>
  </si>
  <si>
    <t>410</t>
  </si>
  <si>
    <t>Bau von Straßen und Bahnverkehrsstrecken</t>
  </si>
  <si>
    <t>421</t>
  </si>
  <si>
    <t>Bau von Versorgungseinrichtungen</t>
  </si>
  <si>
    <t>422</t>
  </si>
  <si>
    <t>Sonstiger Tiefbau</t>
  </si>
  <si>
    <t>429</t>
  </si>
  <si>
    <t>Abbrucharbeiten und vorbereitende Baustellenarbeiten</t>
  </si>
  <si>
    <t>431</t>
  </si>
  <si>
    <t>Bauinstallation</t>
  </si>
  <si>
    <t>432</t>
  </si>
  <si>
    <t>Sonstiger Ausbau</t>
  </si>
  <si>
    <t>433</t>
  </si>
  <si>
    <t>Spezialisierte Bautätigkeiten im Hochbau</t>
  </si>
  <si>
    <t>434</t>
  </si>
  <si>
    <t>Spezialisierte Bautätigkeiten im Tiefbau</t>
  </si>
  <si>
    <t>435</t>
  </si>
  <si>
    <t>Vermittlungstätigkeiten für spezialisierte Bautätigkeiten</t>
  </si>
  <si>
    <t>436</t>
  </si>
  <si>
    <t>Sonstige spezialisierte Bautätigkeiten</t>
  </si>
  <si>
    <t>439</t>
  </si>
  <si>
    <t>Handelsvermittlung</t>
  </si>
  <si>
    <t>461</t>
  </si>
  <si>
    <t>Großhandel mit landwirtschaftlichen Grundstoffen und lebenden Tieren</t>
  </si>
  <si>
    <t>462</t>
  </si>
  <si>
    <t>Großhandel mit Nahrungs- und Genussmitteln, Getränken und Tabakwaren</t>
  </si>
  <si>
    <t>463</t>
  </si>
  <si>
    <t>Großhandel mit Gebrauchs- und Verbrauchsgütern</t>
  </si>
  <si>
    <t>464</t>
  </si>
  <si>
    <t>Großhandel mit Geräten der Informations- und Kommunikationstechnik</t>
  </si>
  <si>
    <t>465</t>
  </si>
  <si>
    <t>Großhandel mit sonstigen Maschinen, Ausrüstungen und Zubehör</t>
  </si>
  <si>
    <t>466</t>
  </si>
  <si>
    <t>Großhandel mit Kraftwagen, Krafträdern, deren Teilen und Zubehör</t>
  </si>
  <si>
    <t>467</t>
  </si>
  <si>
    <t>Sonstiger Großhandel</t>
  </si>
  <si>
    <t>468</t>
  </si>
  <si>
    <t>Großhandel ohne ausgeprägten Schwerpunkt</t>
  </si>
  <si>
    <t>469</t>
  </si>
  <si>
    <t>Einzelhandel mit Waren verschiedener Art</t>
  </si>
  <si>
    <t>471</t>
  </si>
  <si>
    <t>Einzelhandel mit Nahrungs- und Genussmitteln, Getränken und Tabakwaren</t>
  </si>
  <si>
    <t>472</t>
  </si>
  <si>
    <t>Einzelhandel mit Motorenkraftstoffen</t>
  </si>
  <si>
    <t>473</t>
  </si>
  <si>
    <t>Einzelhandel mit Geräten der Informations- und Kommunikationstechnik</t>
  </si>
  <si>
    <t>474</t>
  </si>
  <si>
    <t>Einzelhandel mit sonstigen Haushaltsgeräten, Textilien, Heimwerker- und Einrichtungsbedarf</t>
  </si>
  <si>
    <t>475</t>
  </si>
  <si>
    <t>Einzelhandel mit Verlagsprodukten, Sportausrüstungen und Spielwaren</t>
  </si>
  <si>
    <t>476</t>
  </si>
  <si>
    <t>Einzelhandel mit sonstigen Gütern, ohne Kraftwagen und Krafträder</t>
  </si>
  <si>
    <t>477</t>
  </si>
  <si>
    <t>Einzelhandel mit Kraftwagen, Krafträdern, deren Teilen und Zubehör</t>
  </si>
  <si>
    <t>478</t>
  </si>
  <si>
    <t>Vermittlungstätigkeiten für den Einzelhandel</t>
  </si>
  <si>
    <t>479</t>
  </si>
  <si>
    <t>Personenbeförderung im Schienenverkehr</t>
  </si>
  <si>
    <t>491</t>
  </si>
  <si>
    <t>Güterbeförderung im Schienenverkehr</t>
  </si>
  <si>
    <t>492</t>
  </si>
  <si>
    <t>Sonstige Personenbeförderung im Landverkehr</t>
  </si>
  <si>
    <t>493</t>
  </si>
  <si>
    <t>Güterbeförderung im Straßenverkehr, Umzugstransporte</t>
  </si>
  <si>
    <t>494</t>
  </si>
  <si>
    <t>Transport in Rohrfernleitungen</t>
  </si>
  <si>
    <t>495</t>
  </si>
  <si>
    <t>Personenbeförderung in der Hochsee- und Küstenschifffahrt</t>
  </si>
  <si>
    <t>501</t>
  </si>
  <si>
    <t>Güterbeförderung in der Hochsee- und Küstenschifffahrt</t>
  </si>
  <si>
    <t>502</t>
  </si>
  <si>
    <t>Personenbeförderung in der Binnenschifffahrt</t>
  </si>
  <si>
    <t>503</t>
  </si>
  <si>
    <t>Güterbeförderung in der Binnenschifffahrt</t>
  </si>
  <si>
    <t>504</t>
  </si>
  <si>
    <t>Personenbeförderung in der Luftfahrt</t>
  </si>
  <si>
    <t>511</t>
  </si>
  <si>
    <t>Güterbeförderung in der Luftfahrt und Raumtransport</t>
  </si>
  <si>
    <t>512</t>
  </si>
  <si>
    <t>Lagerei</t>
  </si>
  <si>
    <t>521</t>
  </si>
  <si>
    <t>Erbringung von sonstigen Dienstleistungen für den Verkehr</t>
  </si>
  <si>
    <t>522</t>
  </si>
  <si>
    <t>Vermittlungstätigkeiten für den Verkehr</t>
  </si>
  <si>
    <t>523</t>
  </si>
  <si>
    <t>Postdienste von Universaldienstleistungsanbietern</t>
  </si>
  <si>
    <t>531</t>
  </si>
  <si>
    <t>Sonstige Post-, Kurier- und Expressdienste</t>
  </si>
  <si>
    <t>532</t>
  </si>
  <si>
    <t>Vermittlungstätigkeiten für Post-, Kurier- und Expressdienstleistungen</t>
  </si>
  <si>
    <t>533</t>
  </si>
  <si>
    <t>Hotels, Gasthöfe und Pensionen</t>
  </si>
  <si>
    <t>551</t>
  </si>
  <si>
    <t>Ferienunterkünfte und ähnliche Beherbergungsstätten</t>
  </si>
  <si>
    <t>552</t>
  </si>
  <si>
    <t>Campingplätze</t>
  </si>
  <si>
    <t>553</t>
  </si>
  <si>
    <t>Vermittlungstätigkeiten für Beherbergungsdienstleistungen</t>
  </si>
  <si>
    <t>554</t>
  </si>
  <si>
    <t>Sonstige Beherbergungsstätten</t>
  </si>
  <si>
    <t>559</t>
  </si>
  <si>
    <t>Restaurants, Gaststätten, Imbissstuben, Cafés, Eissalons u. ä.</t>
  </si>
  <si>
    <t>561</t>
  </si>
  <si>
    <t>Caterer und Erbringung sonstiger Verpflegungsdienstleistungen</t>
  </si>
  <si>
    <t>562</t>
  </si>
  <si>
    <t>Ausschank von Getränken</t>
  </si>
  <si>
    <t>563</t>
  </si>
  <si>
    <t>Vermittlungstätigkeiten für gastronomische Dienstleistungen</t>
  </si>
  <si>
    <t>564</t>
  </si>
  <si>
    <t>Verlegen von Büchern und Zeitungen sowie sonstiges Verlagswesen, ohne Software</t>
  </si>
  <si>
    <t>581</t>
  </si>
  <si>
    <t>Verlegen von Software</t>
  </si>
  <si>
    <t>582</t>
  </si>
  <si>
    <t>Herstellung von Filmen und Fernsehprogrammen, deren Verleih und Vertrieb, Kinos</t>
  </si>
  <si>
    <t>591</t>
  </si>
  <si>
    <t>Tonstudios; Herstellung von Hörfunkbeiträgen; Verlegen von bespielten Tonträgern und Musikalien</t>
  </si>
  <si>
    <t>592</t>
  </si>
  <si>
    <t>Hörfunkveranstalter und Verbreitung von Audioinhalten</t>
  </si>
  <si>
    <t>601</t>
  </si>
  <si>
    <t>Fernsehveranstalter und Verbreitung von Videoinhalten</t>
  </si>
  <si>
    <t>602</t>
  </si>
  <si>
    <t>Nachrichtenagenturen und sonstige Verbreitung von Medieninhalten</t>
  </si>
  <si>
    <t>603</t>
  </si>
  <si>
    <t>Leitungsgebundene, drahtlose und satellitengestützte Telekommunikation</t>
  </si>
  <si>
    <t>611</t>
  </si>
  <si>
    <t>Wiederverkaufs- und Vermittlungstätigkeiten für die Telekommunikation</t>
  </si>
  <si>
    <t>612</t>
  </si>
  <si>
    <t>Sonstige Telekommunikation</t>
  </si>
  <si>
    <t>619</t>
  </si>
  <si>
    <t>Programmierungstätigkeiten</t>
  </si>
  <si>
    <t>621</t>
  </si>
  <si>
    <t>Erbringung von Dienstleistungen der IT-Beratung sowie des Betriebs von Datenverarbeitungseinrichtungen</t>
  </si>
  <si>
    <t>622</t>
  </si>
  <si>
    <t>Erbringung von sonstigen Dienstleistungen der Informationstechnologie</t>
  </si>
  <si>
    <t>629</t>
  </si>
  <si>
    <t>Datenverarbeitung, Hosting und damit verbundene Tätigkeiten</t>
  </si>
  <si>
    <t>631</t>
  </si>
  <si>
    <t>Web-Suchportale und Erbringung von sonstigen Informationsdienstleistungen</t>
  </si>
  <si>
    <t>639</t>
  </si>
  <si>
    <t>Zentralbanken und Kreditinstitute</t>
  </si>
  <si>
    <t>641</t>
  </si>
  <si>
    <t>Beteiligungsgesellschaften und Finanzierungs-Conduits</t>
  </si>
  <si>
    <t>642</t>
  </si>
  <si>
    <t>Treuhand- und sonstige Fonds u. ä. Finanzinstitutionen</t>
  </si>
  <si>
    <t>643</t>
  </si>
  <si>
    <t>Sonstige Finanzierungsinstitutionen</t>
  </si>
  <si>
    <t>649</t>
  </si>
  <si>
    <t>Versicherungen</t>
  </si>
  <si>
    <t>651</t>
  </si>
  <si>
    <t>Rückversicherungen</t>
  </si>
  <si>
    <t>652</t>
  </si>
  <si>
    <t>Pensionskassen und Pensionsfonds</t>
  </si>
  <si>
    <t>653</t>
  </si>
  <si>
    <t>Mit Finanzdienstleistungen verbundene Tätigkeiten</t>
  </si>
  <si>
    <t>661</t>
  </si>
  <si>
    <t>Mit Versicherungsdienstleistungen und Pensionskassen verbundene Tätigkeiten</t>
  </si>
  <si>
    <t>662</t>
  </si>
  <si>
    <t>Fondsmanagement</t>
  </si>
  <si>
    <t>663</t>
  </si>
  <si>
    <t>Kauf und Verkauf von eigenen Grundstücken, Gebäuden und Wohnungen sowie Erschließung von Grundstücken</t>
  </si>
  <si>
    <t>681</t>
  </si>
  <si>
    <t>Vermietung, Verpachtung von eigenen oder geleasten Grundstücken, Gebäuden und Wohnungen</t>
  </si>
  <si>
    <t>682</t>
  </si>
  <si>
    <t>Tätigkeiten für das Grundstücks- und Wohnungswesen für Dritte</t>
  </si>
  <si>
    <t>683</t>
  </si>
  <si>
    <t>Rechtsberatung</t>
  </si>
  <si>
    <t>691</t>
  </si>
  <si>
    <t>Wirtschaftsprüfung und Steuerberatung; Buchführung</t>
  </si>
  <si>
    <t>692</t>
  </si>
  <si>
    <t>Verwaltung und Führung von Unternehmen und Betrieben</t>
  </si>
  <si>
    <t>701</t>
  </si>
  <si>
    <t>Unternehmensberatung</t>
  </si>
  <si>
    <t>702</t>
  </si>
  <si>
    <t>Tätigkeiten von Architektur- und Ingenieurbüros</t>
  </si>
  <si>
    <t>711</t>
  </si>
  <si>
    <t>Technische, physikalische und chemische Untersuchung</t>
  </si>
  <si>
    <t>712</t>
  </si>
  <si>
    <t>Forschung und Entwicklung im Bereich Natur-, Ingenieur-, Agrarwissenschaften und Medizin</t>
  </si>
  <si>
    <t>721</t>
  </si>
  <si>
    <t>Forschung und Entwicklung im Bereich Rechts-, Wirtschafts- und Sozialwissenschaften sowie im Bereich Sprach-, Kultur- und Kunstwissenschaften</t>
  </si>
  <si>
    <t>722</t>
  </si>
  <si>
    <t>Werbung</t>
  </si>
  <si>
    <t>731</t>
  </si>
  <si>
    <t>Markt- und Meinungsforschung</t>
  </si>
  <si>
    <t>732</t>
  </si>
  <si>
    <t>Public-Relations-Beratung</t>
  </si>
  <si>
    <t>733</t>
  </si>
  <si>
    <t>Ateliers für Textil-, Schmuck-, Grafik- u. ä. Design</t>
  </si>
  <si>
    <t>741</t>
  </si>
  <si>
    <t>Fotografie und Fotolabors</t>
  </si>
  <si>
    <t>742</t>
  </si>
  <si>
    <t>Übersetzen und Dolmetschen</t>
  </si>
  <si>
    <t>743</t>
  </si>
  <si>
    <t>Sonstige wissenschaftliche und technische Tätigkeiten a.n.g.</t>
  </si>
  <si>
    <t>749</t>
  </si>
  <si>
    <t>Veterinärwesen</t>
  </si>
  <si>
    <t>750</t>
  </si>
  <si>
    <t>Vermietung von Kraftwagen</t>
  </si>
  <si>
    <t>771</t>
  </si>
  <si>
    <t>Vermietung von Gebrauchsgütern</t>
  </si>
  <si>
    <t>772</t>
  </si>
  <si>
    <t>Vermietung von Maschinen, Geräten und sonstigen beweglichen Sachen</t>
  </si>
  <si>
    <t>773</t>
  </si>
  <si>
    <t>Leasing von nichtfinanziellen immateriellen Vermögensgütern, ohne Copyrights</t>
  </si>
  <si>
    <t>774</t>
  </si>
  <si>
    <t>Vermittlungstätigkeiten für die Vermietung und das Leasing von beweglichen Sachen und nichtfinanziellen immateriellen Vermögenswerten</t>
  </si>
  <si>
    <t>775</t>
  </si>
  <si>
    <t>Vermittlung von Arbeitskräften</t>
  </si>
  <si>
    <t>781</t>
  </si>
  <si>
    <t>Überlassung von Arbeitskräften und sonstige Personaldienstleistungen</t>
  </si>
  <si>
    <t>782</t>
  </si>
  <si>
    <t>Reisebüros und Reiseveranstalter</t>
  </si>
  <si>
    <t>791</t>
  </si>
  <si>
    <t>Erbringung sonstiger Reservierungsdienstleistungen</t>
  </si>
  <si>
    <t>799</t>
  </si>
  <si>
    <t>Wach- und Sicherheitsdienste sowie Detekteien</t>
  </si>
  <si>
    <t>800</t>
  </si>
  <si>
    <t>Hausmeisterdienste</t>
  </si>
  <si>
    <t>811</t>
  </si>
  <si>
    <t>Reinigung von Gebäuden, Straßen und Verkehrsmitteln</t>
  </si>
  <si>
    <t>812</t>
  </si>
  <si>
    <t>Garten- und Landschaftsbau sowie Erbringung von sonstigen gärtnerischen Dienstleistungen</t>
  </si>
  <si>
    <t>813</t>
  </si>
  <si>
    <t>Sekretariats- und Schreibdienste, Copy-Shops</t>
  </si>
  <si>
    <t>821</t>
  </si>
  <si>
    <t>Call Centers</t>
  </si>
  <si>
    <t>822</t>
  </si>
  <si>
    <t>Messe-, Kongress- und Business-Event-Veranstalter</t>
  </si>
  <si>
    <t>823</t>
  </si>
  <si>
    <t>Vermittlungstätigkeiten für die Erbringung von wirtschaftlichen Dienstleistungen für Unternehmen und Privatpersonen a.n.g.</t>
  </si>
  <si>
    <t>824</t>
  </si>
  <si>
    <t>Erbringung wirtschaftlicher Dienstleistungen für Unternehmen und Privatpersonen a.n.g.</t>
  </si>
  <si>
    <t>829</t>
  </si>
  <si>
    <t>Öffentliche Verwaltung</t>
  </si>
  <si>
    <t>841</t>
  </si>
  <si>
    <t>Auswärtige Angelegenheiten, Verteidigung, Justiz, öffentliche Sicherheit und Ordnung</t>
  </si>
  <si>
    <t>842</t>
  </si>
  <si>
    <t>Sozialversicherung</t>
  </si>
  <si>
    <t>843</t>
  </si>
  <si>
    <t>Kindergärten und Vorschulen</t>
  </si>
  <si>
    <t>851</t>
  </si>
  <si>
    <t>Volksschulen</t>
  </si>
  <si>
    <t>852</t>
  </si>
  <si>
    <t>Weiterführende Schulen und postsekundärer, nicht tertiärer Unterricht</t>
  </si>
  <si>
    <t>853</t>
  </si>
  <si>
    <t>Tertiärer Unterricht</t>
  </si>
  <si>
    <t>854</t>
  </si>
  <si>
    <t>Sonstiger Unterricht</t>
  </si>
  <si>
    <t>855</t>
  </si>
  <si>
    <t>Erbringung von Dienstleistungen für Erziehung und Unterricht</t>
  </si>
  <si>
    <t>856</t>
  </si>
  <si>
    <t>Krankenhäuser</t>
  </si>
  <si>
    <t>861</t>
  </si>
  <si>
    <t>Arzt- und Zahnarztpraxen</t>
  </si>
  <si>
    <t>862</t>
  </si>
  <si>
    <t>Sonstiges Gesundheitswesen</t>
  </si>
  <si>
    <t>869</t>
  </si>
  <si>
    <t>Pflegeheime</t>
  </si>
  <si>
    <t>871</t>
  </si>
  <si>
    <t>Stationäre Einrichtungen zur psychosozialen Betreuung, Suchtbekämpfung</t>
  </si>
  <si>
    <t>872</t>
  </si>
  <si>
    <t>Seniorenwohnheime und Wohnheime für Menschen mit Behinderung</t>
  </si>
  <si>
    <t>873</t>
  </si>
  <si>
    <t>Sonstige Heime, ohne Erholungs- und Ferienheime, und Tätigkeiten für stationäre Betreuung</t>
  </si>
  <si>
    <t>879</t>
  </si>
  <si>
    <t>Soziale Betreuung von älteren Menschen und von Menschen mit Behinderung</t>
  </si>
  <si>
    <t>881</t>
  </si>
  <si>
    <t>Sonstiges Sozialwesen, ohne Heime</t>
  </si>
  <si>
    <t>889</t>
  </si>
  <si>
    <t>Kunstschaffende Tätigkeiten</t>
  </si>
  <si>
    <t>901</t>
  </si>
  <si>
    <t>Darstellende Kunst</t>
  </si>
  <si>
    <t>902</t>
  </si>
  <si>
    <t>Erbringung von Dienstleistungen für kunstschaffende und darstellende Künste</t>
  </si>
  <si>
    <t>903</t>
  </si>
  <si>
    <t>Bibliotheken und Archive</t>
  </si>
  <si>
    <t>911</t>
  </si>
  <si>
    <t>Museen, Sammlungen, historische Stätten und Denkmäler</t>
  </si>
  <si>
    <t>912</t>
  </si>
  <si>
    <t>Konservierung, Restaurierung und sonstige unterstützende Tätigkeiten für das kulturelle Erbe</t>
  </si>
  <si>
    <t>913</t>
  </si>
  <si>
    <t>Botanische und zoologische Gärten sowie Naturparks</t>
  </si>
  <si>
    <t>914</t>
  </si>
  <si>
    <t>Spiel-, Wett- und Lotteriewesen</t>
  </si>
  <si>
    <t>920</t>
  </si>
  <si>
    <t>Erbringung von Dienstleistungen des Sports</t>
  </si>
  <si>
    <t>931</t>
  </si>
  <si>
    <t>Erbringung von sonstigen Dienstleistungen der Unterhaltung und der Erholung</t>
  </si>
  <si>
    <t>932</t>
  </si>
  <si>
    <t>Wirtschafts- und Arbeitgeberverbände, Berufsorganisationen</t>
  </si>
  <si>
    <t>941</t>
  </si>
  <si>
    <t>Arbeitnehmervereinigungen</t>
  </si>
  <si>
    <t>942</t>
  </si>
  <si>
    <t>Kirchliche Vereinigungen; politische Parteien sowie sonstige Interessenvertretungen und Vereinigungen</t>
  </si>
  <si>
    <t>949</t>
  </si>
  <si>
    <t>Reparatur und Instandhaltung von Datenverarbeitungs- und Telekommunikationsgeräten</t>
  </si>
  <si>
    <t>951</t>
  </si>
  <si>
    <t>Reparatur und Instandhaltung von Gebrauchsgütern</t>
  </si>
  <si>
    <t>952</t>
  </si>
  <si>
    <t>Reparatur und Instandhaltung von Kraftwagen und Krafträdern</t>
  </si>
  <si>
    <t>953</t>
  </si>
  <si>
    <t>Vermittlungstätigkeiten für die Reparatur und Instandhaltung von Datenverarbeitungsgeräten und Gebrauchsgütern sowie von Kraftwagen und Krafträdern</t>
  </si>
  <si>
    <t>954</t>
  </si>
  <si>
    <t>Wäscherei und chemische Reinigung</t>
  </si>
  <si>
    <t>961</t>
  </si>
  <si>
    <t>Frisör- und Kosmetiksalons, Day Spas u. ä.</t>
  </si>
  <si>
    <t>962</t>
  </si>
  <si>
    <t>Bestattungswesen</t>
  </si>
  <si>
    <t>963</t>
  </si>
  <si>
    <t>Vermittlungstätigkeiten für überwiegend persönliche Dienstleistungen</t>
  </si>
  <si>
    <t>964</t>
  </si>
  <si>
    <t>Erbringung von sonstigen überwiegend persönlichen Dienstleistungen</t>
  </si>
  <si>
    <t>969</t>
  </si>
  <si>
    <t>Private Haushalte mit Hauspersonal</t>
  </si>
  <si>
    <t>970</t>
  </si>
  <si>
    <t>Herstellung von Waren durch private Haushalte für den Eigenbedarf ohne ausgeprägten Schwerpunkt</t>
  </si>
  <si>
    <t>981</t>
  </si>
  <si>
    <t>Erbringungen von Dienstleistungen durch private Haushalte für den Eigenbedarf ohne ausgeprägten Schwerpunkt</t>
  </si>
  <si>
    <t>982</t>
  </si>
  <si>
    <t>Exterritoriale Organisationen und Körperschaften</t>
  </si>
  <si>
    <t>990</t>
  </si>
  <si>
    <t>evn_authorisationsgruppecode</t>
  </si>
  <si>
    <t>KG = EVN Energievertrieb GmbH</t>
  </si>
  <si>
    <t>KG</t>
  </si>
  <si>
    <t>KONZ = EVN Energieservices GmbH</t>
  </si>
  <si>
    <t>KONZ</t>
  </si>
  <si>
    <t>evn_geschaeftspartnertypcode</t>
  </si>
  <si>
    <t>Organisation</t>
  </si>
  <si>
    <t>Person</t>
  </si>
  <si>
    <t>evn_klassifizierungcode</t>
  </si>
  <si>
    <t>ACHTUNG KONTAKTE</t>
  </si>
  <si>
    <t>AK</t>
  </si>
  <si>
    <t>Allgemeine Vollmacht - EVN KG</t>
  </si>
  <si>
    <t>AV</t>
  </si>
  <si>
    <t>Beschluss eingelangt</t>
  </si>
  <si>
    <t>BE</t>
  </si>
  <si>
    <t>Erwachsenenvertretung</t>
  </si>
  <si>
    <t>EW</t>
  </si>
  <si>
    <t>Grundversorgung</t>
  </si>
  <si>
    <t>GV</t>
  </si>
  <si>
    <t>Inkasso</t>
  </si>
  <si>
    <t>IN</t>
  </si>
  <si>
    <t>VERLASSENSCHAFT</t>
  </si>
  <si>
    <t>VL</t>
  </si>
  <si>
    <t>evn_steuernummerntypcode</t>
  </si>
  <si>
    <t>Österreich: Umsatzsteuer-Id-Nr.</t>
  </si>
  <si>
    <t xml:space="preserve">AT0 </t>
  </si>
  <si>
    <t>Abgabenkontonummer</t>
  </si>
  <si>
    <t xml:space="preserve">AT5 </t>
  </si>
  <si>
    <t>Schweiz: UID-Nummer</t>
  </si>
  <si>
    <t xml:space="preserve">CH1 </t>
  </si>
  <si>
    <t>Deutschland: Umsatzsteuer-IdentNummer</t>
  </si>
  <si>
    <t xml:space="preserve">DE0 </t>
  </si>
  <si>
    <t>Finnland: Umsatzsteuer-IdentNummer</t>
  </si>
  <si>
    <t xml:space="preserve">FI0 </t>
  </si>
  <si>
    <t>Frankreich: Umsatzsteuer-IdentNummer</t>
  </si>
  <si>
    <t xml:space="preserve">FR0 </t>
  </si>
  <si>
    <t>Griechenland: Umsatzsteuer-IdentNummer</t>
  </si>
  <si>
    <t xml:space="preserve">GR0 </t>
  </si>
  <si>
    <t>Italien: Umsatzsteuer-IdentNummer</t>
  </si>
  <si>
    <t xml:space="preserve">IT0 </t>
  </si>
  <si>
    <t>Luxemburg: Umsatzsteuer-IdentNummer</t>
  </si>
  <si>
    <t xml:space="preserve">LU0 </t>
  </si>
  <si>
    <t>Niederlande: Umsatzsteuer-IdentNummer</t>
  </si>
  <si>
    <t xml:space="preserve">NL0 </t>
  </si>
  <si>
    <t>Schweden: Umsatzsteuer-IdentNummer</t>
  </si>
  <si>
    <t xml:space="preserve">SE0 </t>
  </si>
  <si>
    <t>evn_regioncode</t>
  </si>
  <si>
    <t>Burgenland</t>
  </si>
  <si>
    <t>region / poBoxPostalRegion</t>
  </si>
  <si>
    <t>B</t>
  </si>
  <si>
    <t>Kärnten</t>
  </si>
  <si>
    <t>K</t>
  </si>
  <si>
    <t>Niederösterreich</t>
  </si>
  <si>
    <t>NOE</t>
  </si>
  <si>
    <t>Oberösterreich</t>
  </si>
  <si>
    <t>OOE</t>
  </si>
  <si>
    <t>Salzburg</t>
  </si>
  <si>
    <t>S</t>
  </si>
  <si>
    <t>Steiermark</t>
  </si>
  <si>
    <t>ST</t>
  </si>
  <si>
    <t>Tirol</t>
  </si>
  <si>
    <t>T</t>
  </si>
  <si>
    <t>Vorarlberg</t>
  </si>
  <si>
    <t>V</t>
  </si>
  <si>
    <t>Wien</t>
  </si>
  <si>
    <t>W</t>
  </si>
  <si>
    <t>evn_landcode</t>
  </si>
  <si>
    <t>Österreich</t>
  </si>
  <si>
    <t>country/poBoxPostalCountry</t>
  </si>
  <si>
    <t>AT</t>
  </si>
  <si>
    <t>Australien</t>
  </si>
  <si>
    <t>AU</t>
  </si>
  <si>
    <t>Bosnien-Herz.</t>
  </si>
  <si>
    <t>BA</t>
  </si>
  <si>
    <t>Belgien</t>
  </si>
  <si>
    <t>Bulgarien</t>
  </si>
  <si>
    <t>BG</t>
  </si>
  <si>
    <t>Kanada</t>
  </si>
  <si>
    <t>CA</t>
  </si>
  <si>
    <t>Schweiz</t>
  </si>
  <si>
    <t>CH</t>
  </si>
  <si>
    <t>Tschech. Rep.</t>
  </si>
  <si>
    <t>CZ</t>
  </si>
  <si>
    <t>Deutschland</t>
  </si>
  <si>
    <t>DE</t>
  </si>
  <si>
    <t>Dänemark</t>
  </si>
  <si>
    <t>DK</t>
  </si>
  <si>
    <t>Estland</t>
  </si>
  <si>
    <t>EE</t>
  </si>
  <si>
    <t>Ägypten</t>
  </si>
  <si>
    <t>EG</t>
  </si>
  <si>
    <t>Spanien</t>
  </si>
  <si>
    <t>ES</t>
  </si>
  <si>
    <t>Finnland</t>
  </si>
  <si>
    <t>FI</t>
  </si>
  <si>
    <t>Frankreich</t>
  </si>
  <si>
    <t>FR</t>
  </si>
  <si>
    <t>Verein. Königr.</t>
  </si>
  <si>
    <t>GB</t>
  </si>
  <si>
    <t>Griechenland</t>
  </si>
  <si>
    <t>GR</t>
  </si>
  <si>
    <t>Kroatien</t>
  </si>
  <si>
    <t>HR</t>
  </si>
  <si>
    <t>Ungarn</t>
  </si>
  <si>
    <t>HU</t>
  </si>
  <si>
    <t>Israel</t>
  </si>
  <si>
    <t>IL</t>
  </si>
  <si>
    <t>Italien</t>
  </si>
  <si>
    <t>IT</t>
  </si>
  <si>
    <t>Kenia</t>
  </si>
  <si>
    <t>KE</t>
  </si>
  <si>
    <t>Liechtenstein</t>
  </si>
  <si>
    <t>LI</t>
  </si>
  <si>
    <t>Luxemburg</t>
  </si>
  <si>
    <t>LU</t>
  </si>
  <si>
    <t>Lettland</t>
  </si>
  <si>
    <t>LV</t>
  </si>
  <si>
    <t>Monaco</t>
  </si>
  <si>
    <t>MC</t>
  </si>
  <si>
    <t>Nordmazedonien</t>
  </si>
  <si>
    <t>MK</t>
  </si>
  <si>
    <t>Malta</t>
  </si>
  <si>
    <t>MT</t>
  </si>
  <si>
    <t>Mexiko</t>
  </si>
  <si>
    <t>MX</t>
  </si>
  <si>
    <t>Namibia</t>
  </si>
  <si>
    <t>NA</t>
  </si>
  <si>
    <t>Niederlande</t>
  </si>
  <si>
    <t>NL</t>
  </si>
  <si>
    <t>Norwegen</t>
  </si>
  <si>
    <t>NO</t>
  </si>
  <si>
    <t>Polen</t>
  </si>
  <si>
    <t>PL</t>
  </si>
  <si>
    <t>Portugal</t>
  </si>
  <si>
    <t>PT</t>
  </si>
  <si>
    <t>Rumänien</t>
  </si>
  <si>
    <t>RO</t>
  </si>
  <si>
    <t>Russische Foed.</t>
  </si>
  <si>
    <t>RU</t>
  </si>
  <si>
    <t>Schweden</t>
  </si>
  <si>
    <t>SE</t>
  </si>
  <si>
    <t>Slowenien</t>
  </si>
  <si>
    <t>SI</t>
  </si>
  <si>
    <t>Slowakei</t>
  </si>
  <si>
    <t>SK</t>
  </si>
  <si>
    <t>Thailand</t>
  </si>
  <si>
    <t>TH</t>
  </si>
  <si>
    <t>Türkei</t>
  </si>
  <si>
    <t>TR</t>
  </si>
  <si>
    <t>Ukraine</t>
  </si>
  <si>
    <t>UA</t>
  </si>
  <si>
    <t>Uganda</t>
  </si>
  <si>
    <t>UG</t>
  </si>
  <si>
    <t>USA</t>
  </si>
  <si>
    <t>US</t>
  </si>
  <si>
    <t>Südafrika</t>
  </si>
  <si>
    <t>ZA</t>
  </si>
  <si>
    <t xml:space="preserve">ISU 2 CRM - upsert BusinessPartner - OLD
</t>
  </si>
  <si>
    <t>FIeld must be able to hold miliseconds!</t>
  </si>
  <si>
    <t>TaxNumbers":{[</t>
  </si>
  <si>
    <t>]},</t>
  </si>
  <si>
    <t>agriculturalBusinessNumber</t>
  </si>
  <si>
    <t>BP_BUT0ID | TYPE &amp; IDNUMBER</t>
  </si>
  <si>
    <t>ACCOUNT|evn_landwirtschaftlichebetriebsnummer</t>
  </si>
  <si>
    <t>gln</t>
  </si>
  <si>
    <t>ACCOUNT|evn_gln</t>
  </si>
  <si>
    <t>ACCOUNT|evn_klassifzierungcode</t>
  </si>
  <si>
    <t>personnelNumber</t>
  </si>
  <si>
    <t>ACCOUNT|evn_personalnummer</t>
  </si>
  <si>
    <t>"BusinessPartnerRelation": {</t>
  </si>
  <si>
    <t>relatedBusinessCustomer</t>
  </si>
  <si>
    <t>PARTNER1</t>
  </si>
  <si>
    <t>ACCOUNT|klammergeschaeftspartner1id &gt;&gt; ACCOUNT|evn_isugeschaeftspartnernummer</t>
  </si>
  <si>
    <t>relatedBusinessCustomer2</t>
  </si>
  <si>
    <t>PARTNER2</t>
  </si>
  <si>
    <t>ACCOUNT|klammergeschaeftspartner2id&gt;&gt; ACCOUNT|evn_isugeschaeftspartnernummer</t>
  </si>
  <si>
    <t>"BankData": {</t>
  </si>
  <si>
    <t>N/A</t>
  </si>
  <si>
    <t>ACCOUNT|evn_postfachregion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</si>
</sst>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i/>
      <sz val="11"/>
      <color theme="2" tint="-9.9978637043366805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8"/>
      <color rgb="FFFFFFFF"/>
      <name val="Calibri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22222"/>
      <name val="Segoe UI"/>
      <charset val="1"/>
    </font>
    <font>
      <b/>
      <i/>
      <sz val="11"/>
      <color theme="2" tint="-9.9978637043366805E-2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7">
    <xf numFmtId="0" fontId="0" fillId="0" borderId="0" xfId="0"/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3" borderId="0" xfId="0" applyFill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 applyAlignment="1">
      <alignment wrapText="1"/>
    </xf>
    <xf numFmtId="0" fontId="2" fillId="0" borderId="1" xfId="0" applyFont="1" applyBorder="1"/>
    <xf numFmtId="0" fontId="9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2" fillId="0" borderId="0" xfId="0" applyFont="1" applyAlignment="1">
      <alignment horizontal="left" vertical="center"/>
    </xf>
    <xf numFmtId="0" fontId="11" fillId="0" borderId="0" xfId="1" applyFill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4" fillId="0" borderId="0" xfId="0" applyFont="1"/>
    <xf numFmtId="0" fontId="15" fillId="0" borderId="0" xfId="0" applyFont="1"/>
    <xf numFmtId="0" fontId="17" fillId="6" borderId="4" xfId="0" applyFont="1" applyFill="1" applyBorder="1"/>
    <xf numFmtId="0" fontId="17" fillId="6" borderId="5" xfId="0" applyFont="1" applyFill="1" applyBorder="1"/>
    <xf numFmtId="0" fontId="17" fillId="6" borderId="6" xfId="0" applyFont="1" applyFill="1" applyBorder="1"/>
    <xf numFmtId="0" fontId="18" fillId="0" borderId="7" xfId="0" applyFont="1" applyBorder="1"/>
    <xf numFmtId="0" fontId="19" fillId="0" borderId="8" xfId="0" applyFont="1" applyBorder="1"/>
    <xf numFmtId="0" fontId="19" fillId="0" borderId="9" xfId="0" applyFont="1" applyBorder="1"/>
    <xf numFmtId="0" fontId="11" fillId="0" borderId="9" xfId="1" applyFill="1" applyBorder="1" applyAlignment="1"/>
    <xf numFmtId="0" fontId="19" fillId="0" borderId="7" xfId="0" applyFont="1" applyBorder="1"/>
    <xf numFmtId="49" fontId="13" fillId="0" borderId="0" xfId="0" applyNumberFormat="1" applyFont="1" applyAlignment="1">
      <alignment horizontal="left" vertical="center"/>
    </xf>
    <xf numFmtId="14" fontId="18" fillId="0" borderId="8" xfId="0" applyNumberFormat="1" applyFont="1" applyBorder="1"/>
    <xf numFmtId="0" fontId="14" fillId="0" borderId="10" xfId="0" applyFont="1" applyBorder="1"/>
    <xf numFmtId="49" fontId="0" fillId="0" borderId="0" xfId="0" applyNumberFormat="1" applyAlignment="1">
      <alignment horizontal="left" vertical="center"/>
    </xf>
    <xf numFmtId="0" fontId="12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left" vertical="center"/>
    </xf>
    <xf numFmtId="49" fontId="0" fillId="7" borderId="0" xfId="0" applyNumberForma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10" fillId="7" borderId="0" xfId="0" applyFont="1" applyFill="1"/>
    <xf numFmtId="0" fontId="0" fillId="7" borderId="0" xfId="0" applyFill="1"/>
    <xf numFmtId="0" fontId="14" fillId="0" borderId="11" xfId="0" applyFont="1" applyBorder="1"/>
    <xf numFmtId="0" fontId="21" fillId="0" borderId="0" xfId="0" applyFont="1"/>
    <xf numFmtId="0" fontId="19" fillId="0" borderId="8" xfId="0" applyFont="1" applyBorder="1" applyAlignment="1">
      <alignment wrapText="1"/>
    </xf>
    <xf numFmtId="0" fontId="2" fillId="0" borderId="0" xfId="0" applyFont="1"/>
    <xf numFmtId="49" fontId="0" fillId="0" borderId="0" xfId="0" applyNumberFormat="1"/>
    <xf numFmtId="49" fontId="14" fillId="0" borderId="0" xfId="0" applyNumberFormat="1" applyFont="1"/>
    <xf numFmtId="0" fontId="13" fillId="0" borderId="2" xfId="0" applyFont="1" applyBorder="1"/>
    <xf numFmtId="14" fontId="24" fillId="0" borderId="8" xfId="0" applyNumberFormat="1" applyFont="1" applyBorder="1"/>
    <xf numFmtId="0" fontId="24" fillId="8" borderId="8" xfId="0" applyFont="1" applyFill="1" applyBorder="1" applyAlignment="1">
      <alignment wrapText="1"/>
    </xf>
    <xf numFmtId="0" fontId="11" fillId="0" borderId="9" xfId="1" applyBorder="1" applyAlignment="1">
      <alignment horizontal="left" vertical="top" wrapText="1"/>
    </xf>
    <xf numFmtId="49" fontId="18" fillId="0" borderId="7" xfId="0" applyNumberFormat="1" applyFont="1" applyBorder="1"/>
    <xf numFmtId="0" fontId="3" fillId="9" borderId="0" xfId="0" applyFont="1" applyFill="1" applyAlignment="1">
      <alignment horizontal="center" vertical="center" wrapText="1"/>
    </xf>
    <xf numFmtId="0" fontId="26" fillId="9" borderId="0" xfId="0" applyFont="1" applyFill="1"/>
    <xf numFmtId="0" fontId="23" fillId="0" borderId="0" xfId="0" applyFont="1"/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0" fillId="0" borderId="0" xfId="0" applyAlignment="1">
      <alignment horizontal="left"/>
    </xf>
    <xf numFmtId="0" fontId="28" fillId="0" borderId="0" xfId="0" applyFont="1"/>
    <xf numFmtId="0" fontId="11" fillId="0" borderId="0" xfId="1"/>
    <xf numFmtId="0" fontId="12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left" vertical="center"/>
    </xf>
    <xf numFmtId="49" fontId="0" fillId="10" borderId="0" xfId="0" applyNumberForma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27" fillId="10" borderId="0" xfId="0" applyFont="1" applyFill="1"/>
    <xf numFmtId="0" fontId="10" fillId="10" borderId="0" xfId="0" applyFont="1" applyFill="1"/>
    <xf numFmtId="0" fontId="0" fillId="10" borderId="0" xfId="0" applyFill="1"/>
    <xf numFmtId="0" fontId="3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31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/>
    <xf numFmtId="0" fontId="29" fillId="10" borderId="0" xfId="0" applyFont="1" applyFill="1"/>
    <xf numFmtId="0" fontId="32" fillId="10" borderId="0" xfId="0" applyFont="1" applyFill="1"/>
    <xf numFmtId="0" fontId="30" fillId="0" borderId="0" xfId="0" applyFont="1"/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3" fillId="0" borderId="0" xfId="0" applyFont="1"/>
    <xf numFmtId="0" fontId="20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16" fillId="5" borderId="0" xfId="0" applyFont="1" applyFill="1" applyAlignment="1"/>
    <xf numFmtId="0" fontId="1" fillId="0" borderId="0" xfId="0" applyFont="1" applyAlignment="1">
      <alignment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fluence.apps.evn.at/pages/viewpage.action?pageId=477200394&amp;spaceKey=PSK&amp;title=2025-03-24%2BAbstimmung%2BErweiterung%2BGP%2BUpdate%2BUpsert%2BBusiness%2BPart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8947-CE23-441E-BE24-560F58FEAE0A}">
  <sheetPr>
    <tabColor rgb="FF0070C0"/>
  </sheetPr>
  <dimension ref="A1:I12"/>
  <sheetViews>
    <sheetView showGridLines="0" workbookViewId="0">
      <selection activeCell="C13" sqref="C13"/>
    </sheetView>
  </sheetViews>
  <sheetFormatPr defaultColWidth="8.85546875" defaultRowHeight="15"/>
  <cols>
    <col min="1" max="1" width="55.7109375" bestFit="1" customWidth="1"/>
    <col min="2" max="2" width="11.85546875" bestFit="1" customWidth="1"/>
    <col min="3" max="3" width="90.140625" customWidth="1"/>
    <col min="4" max="4" width="39.42578125" bestFit="1" customWidth="1"/>
    <col min="5" max="5" width="29.42578125" bestFit="1" customWidth="1"/>
  </cols>
  <sheetData>
    <row r="1" spans="1:9" ht="18.95">
      <c r="A1" s="24" t="s">
        <v>0</v>
      </c>
      <c r="B1" s="24"/>
      <c r="C1" s="24"/>
      <c r="D1" s="23"/>
      <c r="E1" s="23"/>
      <c r="F1" s="23"/>
      <c r="G1" s="23"/>
      <c r="H1" s="23"/>
      <c r="I1" s="23"/>
    </row>
    <row r="2" spans="1:9" ht="15.95">
      <c r="A2" s="85" t="s">
        <v>1</v>
      </c>
      <c r="B2" s="85"/>
      <c r="C2" s="85"/>
      <c r="D2" s="85"/>
      <c r="E2" s="85"/>
      <c r="F2" s="85"/>
      <c r="G2" s="85"/>
      <c r="H2" s="85"/>
      <c r="I2" s="85"/>
    </row>
    <row r="3" spans="1:9">
      <c r="A3" s="23"/>
      <c r="B3" s="23"/>
      <c r="C3" s="23"/>
      <c r="D3" s="23"/>
      <c r="E3" s="23"/>
      <c r="F3" s="23"/>
      <c r="G3" s="23"/>
      <c r="H3" s="23"/>
      <c r="I3" s="23"/>
    </row>
    <row r="4" spans="1:9">
      <c r="A4" s="25" t="s">
        <v>2</v>
      </c>
      <c r="B4" s="26" t="s">
        <v>3</v>
      </c>
      <c r="C4" s="26" t="s">
        <v>4</v>
      </c>
      <c r="D4" s="26" t="s">
        <v>5</v>
      </c>
      <c r="E4" s="27" t="s">
        <v>6</v>
      </c>
      <c r="F4" s="23"/>
      <c r="G4" s="23"/>
      <c r="H4" s="23"/>
      <c r="I4" s="23"/>
    </row>
    <row r="5" spans="1:9">
      <c r="A5" s="28" t="s">
        <v>7</v>
      </c>
      <c r="B5" s="34">
        <v>45688</v>
      </c>
      <c r="C5" s="29" t="s">
        <v>8</v>
      </c>
      <c r="D5" s="30" t="s">
        <v>9</v>
      </c>
      <c r="E5" s="35" t="s">
        <v>10</v>
      </c>
      <c r="F5" s="23"/>
      <c r="G5" s="23"/>
      <c r="H5" s="23"/>
      <c r="I5" s="23"/>
    </row>
    <row r="6" spans="1:9" ht="35.25">
      <c r="A6" s="28" t="s">
        <v>11</v>
      </c>
      <c r="B6" s="34">
        <v>45709</v>
      </c>
      <c r="C6" s="45" t="s">
        <v>12</v>
      </c>
      <c r="D6" s="31"/>
      <c r="E6" s="43" t="s">
        <v>13</v>
      </c>
      <c r="F6" s="23"/>
      <c r="G6" s="23"/>
      <c r="H6" s="23"/>
      <c r="I6" s="23"/>
    </row>
    <row r="7" spans="1:9" ht="91.5">
      <c r="A7" s="53" t="s">
        <v>14</v>
      </c>
      <c r="B7" s="50">
        <v>45747</v>
      </c>
      <c r="C7" s="51" t="s">
        <v>15</v>
      </c>
      <c r="D7" s="52" t="s">
        <v>16</v>
      </c>
      <c r="E7" s="43" t="s">
        <v>13</v>
      </c>
      <c r="F7" s="23"/>
      <c r="G7" s="23"/>
      <c r="H7" s="23"/>
      <c r="I7" s="23"/>
    </row>
    <row r="8" spans="1:9">
      <c r="A8" s="32" t="s">
        <v>9</v>
      </c>
      <c r="B8" s="29" t="s">
        <v>9</v>
      </c>
      <c r="C8" s="29" t="s">
        <v>9</v>
      </c>
      <c r="D8" s="30" t="s">
        <v>9</v>
      </c>
      <c r="E8" s="43" t="s">
        <v>9</v>
      </c>
      <c r="F8" s="23"/>
      <c r="G8" s="23"/>
      <c r="H8" s="23"/>
      <c r="I8" s="23"/>
    </row>
    <row r="9" spans="1:9">
      <c r="A9" s="23"/>
      <c r="B9" s="23"/>
      <c r="C9" s="23"/>
      <c r="D9" s="23"/>
      <c r="E9" s="23"/>
      <c r="F9" s="23"/>
      <c r="G9" s="23"/>
      <c r="H9" s="23"/>
      <c r="I9" s="23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3"/>
      <c r="B11" s="23"/>
      <c r="C11" s="23"/>
      <c r="D11" s="23"/>
      <c r="E11" s="23"/>
      <c r="F11" s="23"/>
      <c r="G11" s="23"/>
      <c r="H11" s="23"/>
      <c r="I11" s="23"/>
    </row>
    <row r="12" spans="1:9">
      <c r="A12" s="23"/>
      <c r="B12" s="23"/>
      <c r="C12" s="23"/>
      <c r="D12" s="23"/>
      <c r="E12" s="23"/>
      <c r="F12" s="23"/>
      <c r="G12" s="23"/>
      <c r="H12" s="23"/>
      <c r="I12" s="23"/>
    </row>
  </sheetData>
  <mergeCells count="1">
    <mergeCell ref="A2:I2"/>
  </mergeCells>
  <hyperlinks>
    <hyperlink ref="D7" r:id="rId1" xr:uid="{99284364-FCCD-400E-8EBE-F75B9DB27BA8}"/>
  </hyperlinks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AC18-34CA-40BA-8E44-D5841CE903F5}">
  <dimension ref="B1:B15"/>
  <sheetViews>
    <sheetView workbookViewId="0">
      <selection activeCell="B1" sqref="B1"/>
    </sheetView>
  </sheetViews>
  <sheetFormatPr defaultColWidth="9" defaultRowHeight="15"/>
  <cols>
    <col min="2" max="2" width="127" customWidth="1"/>
  </cols>
  <sheetData>
    <row r="1" spans="2:2">
      <c r="B1" s="62" t="s">
        <v>17</v>
      </c>
    </row>
    <row r="3" spans="2:2">
      <c r="B3" t="s">
        <v>18</v>
      </c>
    </row>
    <row r="4" spans="2:2">
      <c r="B4" t="s">
        <v>19</v>
      </c>
    </row>
    <row r="5" spans="2:2">
      <c r="B5" t="s">
        <v>20</v>
      </c>
    </row>
    <row r="6" spans="2:2">
      <c r="B6" t="s">
        <v>21</v>
      </c>
    </row>
    <row r="8" spans="2:2" ht="15.95" thickBot="1"/>
    <row r="9" spans="2:2">
      <c r="B9" s="11" t="s">
        <v>22</v>
      </c>
    </row>
    <row r="10" spans="2:2">
      <c r="B10" s="49" t="s">
        <v>23</v>
      </c>
    </row>
    <row r="11" spans="2:2">
      <c r="B11" s="9"/>
    </row>
    <row r="12" spans="2:2">
      <c r="B12" s="9" t="s">
        <v>24</v>
      </c>
    </row>
    <row r="13" spans="2:2">
      <c r="B13" s="9" t="s">
        <v>25</v>
      </c>
    </row>
    <row r="14" spans="2:2">
      <c r="B14" s="9"/>
    </row>
    <row r="15" spans="2:2" ht="81" thickBot="1">
      <c r="B15" s="10" t="s">
        <v>26</v>
      </c>
    </row>
  </sheetData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B4B0-B96F-4959-BB3A-E8CF1A03A647}">
  <dimension ref="B1:C12"/>
  <sheetViews>
    <sheetView showGridLines="0" zoomScale="85" zoomScaleNormal="85" workbookViewId="0">
      <selection activeCell="Q18" sqref="Q18:Q19"/>
    </sheetView>
  </sheetViews>
  <sheetFormatPr defaultColWidth="9" defaultRowHeight="15"/>
  <cols>
    <col min="1" max="1" width="6.42578125" customWidth="1"/>
    <col min="2" max="2" width="4.7109375" customWidth="1"/>
    <col min="3" max="3" width="151.42578125" customWidth="1"/>
  </cols>
  <sheetData>
    <row r="1" spans="2:3" ht="21">
      <c r="C1" s="8" t="s">
        <v>27</v>
      </c>
    </row>
    <row r="3" spans="2:3" ht="18.95">
      <c r="B3" s="7" t="s">
        <v>28</v>
      </c>
      <c r="C3" t="s">
        <v>29</v>
      </c>
    </row>
    <row r="4" spans="2:3" ht="18.75">
      <c r="B4" s="7" t="s">
        <v>28</v>
      </c>
      <c r="C4" s="55" t="s">
        <v>30</v>
      </c>
    </row>
    <row r="5" spans="2:3" ht="18.75">
      <c r="B5" s="7" t="s">
        <v>28</v>
      </c>
      <c r="C5" s="56" t="s">
        <v>31</v>
      </c>
    </row>
    <row r="6" spans="2:3" ht="18.75">
      <c r="B6" s="7" t="s">
        <v>28</v>
      </c>
      <c r="C6" s="56" t="s">
        <v>32</v>
      </c>
    </row>
    <row r="7" spans="2:3" ht="18.95">
      <c r="B7" s="7" t="s">
        <v>28</v>
      </c>
      <c r="C7" t="s">
        <v>33</v>
      </c>
    </row>
    <row r="8" spans="2:3" ht="18.95">
      <c r="B8" s="7" t="s">
        <v>28</v>
      </c>
      <c r="C8" t="s">
        <v>34</v>
      </c>
    </row>
    <row r="9" spans="2:3" ht="18.95">
      <c r="B9" s="7" t="s">
        <v>28</v>
      </c>
      <c r="C9" t="s">
        <v>35</v>
      </c>
    </row>
    <row r="10" spans="2:3" ht="18.95">
      <c r="B10" s="7" t="s">
        <v>28</v>
      </c>
      <c r="C10" t="s">
        <v>36</v>
      </c>
    </row>
    <row r="11" spans="2:3" ht="18.95">
      <c r="B11" s="7" t="s">
        <v>28</v>
      </c>
      <c r="C11" t="s">
        <v>37</v>
      </c>
    </row>
    <row r="12" spans="2:3" ht="18.75">
      <c r="B12" s="7"/>
      <c r="C12" s="6"/>
    </row>
  </sheetData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5858-FD9B-4F5B-B3CF-EB4751E46DE7}">
  <dimension ref="A1:P59"/>
  <sheetViews>
    <sheetView zoomScale="130" zoomScaleNormal="130" workbookViewId="0">
      <pane ySplit="2" topLeftCell="H3" activePane="bottomLeft" state="frozen"/>
      <selection pane="bottomLeft" activeCell="O9" sqref="O9"/>
    </sheetView>
  </sheetViews>
  <sheetFormatPr defaultColWidth="9" defaultRowHeight="15"/>
  <cols>
    <col min="1" max="1" width="5" style="2" customWidth="1"/>
    <col min="2" max="2" width="6.140625" style="5" customWidth="1"/>
    <col min="3" max="3" width="10.85546875" style="5" customWidth="1"/>
    <col min="4" max="4" width="24.28515625" style="5" customWidth="1"/>
    <col min="5" max="5" width="55.28515625" style="5" customWidth="1"/>
    <col min="6" max="6" width="6.28515625" style="5" customWidth="1"/>
    <col min="7" max="7" width="39.85546875" style="5" customWidth="1"/>
    <col min="8" max="8" width="39.42578125" style="5" customWidth="1"/>
    <col min="9" max="9" width="18.85546875" style="5" customWidth="1"/>
    <col min="10" max="10" width="13.42578125" style="5" customWidth="1"/>
    <col min="11" max="11" width="23.7109375" style="5" customWidth="1"/>
    <col min="12" max="12" width="8.28515625" style="5" customWidth="1"/>
    <col min="13" max="13" width="11.5703125" customWidth="1"/>
    <col min="14" max="14" width="47.28515625" customWidth="1"/>
    <col min="15" max="15" width="58.140625" customWidth="1"/>
    <col min="16" max="16" width="81.7109375" customWidth="1"/>
  </cols>
  <sheetData>
    <row r="1" spans="1:16" ht="62.25" customHeight="1">
      <c r="A1" s="83" t="s">
        <v>38</v>
      </c>
      <c r="B1" s="84"/>
      <c r="C1" s="84"/>
      <c r="D1" s="84"/>
      <c r="E1" s="84"/>
      <c r="F1" s="84"/>
      <c r="G1" s="84"/>
      <c r="H1" s="13"/>
      <c r="I1" s="13"/>
      <c r="J1" s="13" t="s">
        <v>39</v>
      </c>
      <c r="K1" s="13"/>
      <c r="L1" s="13"/>
      <c r="M1" s="1"/>
      <c r="N1" s="3"/>
      <c r="O1" s="3"/>
      <c r="P1" s="3"/>
    </row>
    <row r="2" spans="1:16" s="5" customFormat="1" ht="32.1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</v>
      </c>
      <c r="H2" s="4" t="s">
        <v>46</v>
      </c>
      <c r="I2" s="12" t="s">
        <v>47</v>
      </c>
      <c r="J2" s="12" t="s">
        <v>48</v>
      </c>
      <c r="K2" s="4" t="s">
        <v>49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</row>
    <row r="3" spans="1:16" s="81" customFormat="1">
      <c r="A3" s="72">
        <v>1</v>
      </c>
      <c r="B3" s="70"/>
      <c r="C3" s="73" t="str">
        <f t="shared" ref="C3" si="0">IF(B3="person","p_",(IF(B3="organisation","o_",(IF(B3="person/organisation","po_","")))))</f>
        <v/>
      </c>
      <c r="D3" s="73"/>
      <c r="E3" s="73" t="str">
        <f>IF(ISBLANK(F3),G3,IF(ISBLANK(M3),_xlfn.CONCAT($J$1,C3,G3,$J$1,": ",,$J$1,D3,$J$1,IF(LEFT(#REF!,1)="}","",",")),_xlfn.CONCAT($J$1,C3,G3,$J$1,": ",,,D3,,IF(LEFT(#REF!,1)="}","",","))))</f>
        <v>{</v>
      </c>
      <c r="F3" s="70"/>
      <c r="G3" s="74" t="s">
        <v>55</v>
      </c>
      <c r="H3" s="70"/>
      <c r="I3" s="71"/>
      <c r="J3" s="71"/>
      <c r="K3" s="70"/>
      <c r="L3" s="70"/>
      <c r="M3" s="70"/>
      <c r="N3" s="70"/>
      <c r="O3" s="70"/>
      <c r="P3" s="70"/>
    </row>
    <row r="4" spans="1:16" s="5" customFormat="1" ht="30.75">
      <c r="A4" s="14">
        <v>2</v>
      </c>
      <c r="B4" s="15"/>
      <c r="C4" s="16"/>
      <c r="D4" s="44" t="s">
        <v>56</v>
      </c>
      <c r="E4" s="16" t="str">
        <f>IF(ISBLANK(F4),G4,IF(ISBLANK(M4),_xlfn.CONCAT($J$1,C4,G4,$J$1,": ",,$J$1,D4,$J$1,IF(LEFT(E6,1)="}","",",")),_xlfn.CONCAT($J$1,C4,G4,$J$1,": ",,,D4,,IF(LEFT(E6,1)="}","",","))))</f>
        <v>"eventTimeStamp": "2025-03-02T09:45:14.509Z",</v>
      </c>
      <c r="F4" s="57" t="s">
        <v>57</v>
      </c>
      <c r="G4" s="80" t="s">
        <v>58</v>
      </c>
      <c r="I4" s="18"/>
      <c r="J4" s="18"/>
      <c r="K4" s="15"/>
      <c r="L4" s="15"/>
      <c r="M4" s="15"/>
      <c r="N4" s="57" t="s">
        <v>59</v>
      </c>
      <c r="O4" s="86" t="s">
        <v>60</v>
      </c>
      <c r="P4" s="17" t="s">
        <v>61</v>
      </c>
    </row>
    <row r="5" spans="1:16">
      <c r="A5" s="14">
        <v>3</v>
      </c>
      <c r="B5" s="16"/>
      <c r="D5" s="33"/>
      <c r="E5" s="16" t="str">
        <f t="shared" ref="E4:E26" si="1">IF(ISBLANK(F5),G5,IF(ISBLANK(M5),_xlfn.CONCAT($J$1,C5,G5,$J$1,": ",,$J$1,D5,$J$1,IF(LEFT(E7,1)="}","",",")),_xlfn.CONCAT($J$1,C5,G5,$J$1,": ",,,D5,,IF(LEFT(E7,1)="}","",","))))</f>
        <v>"businessCustomerCRMGuid": "",</v>
      </c>
      <c r="F5" s="5" t="s">
        <v>62</v>
      </c>
      <c r="G5" s="19" t="s">
        <v>63</v>
      </c>
      <c r="H5" s="19"/>
      <c r="I5" s="19" t="s">
        <v>64</v>
      </c>
      <c r="J5" s="19" t="s">
        <v>65</v>
      </c>
      <c r="K5" s="19">
        <v>60</v>
      </c>
      <c r="N5" t="s">
        <v>66</v>
      </c>
      <c r="O5" t="s">
        <v>67</v>
      </c>
    </row>
    <row r="6" spans="1:16">
      <c r="A6" s="14">
        <v>4</v>
      </c>
      <c r="B6" s="16"/>
      <c r="C6" s="16" t="str">
        <f>IF(B5="person","p_",(IF(B5="organisation","o_",(IF(B5="person/organisation","po_","")))))</f>
        <v/>
      </c>
      <c r="D6" s="33"/>
      <c r="E6" s="16" t="str">
        <f t="shared" si="1"/>
        <v>"businessCustomerId": "",</v>
      </c>
      <c r="F6" s="5" t="s">
        <v>57</v>
      </c>
      <c r="G6" s="19" t="s">
        <v>68</v>
      </c>
      <c r="H6" s="19" t="s">
        <v>69</v>
      </c>
      <c r="I6" s="19" t="s">
        <v>69</v>
      </c>
      <c r="J6" s="19" t="s">
        <v>65</v>
      </c>
      <c r="K6" s="19">
        <v>10</v>
      </c>
      <c r="L6" s="19"/>
      <c r="N6" t="s">
        <v>70</v>
      </c>
      <c r="O6" s="6" t="s">
        <v>71</v>
      </c>
    </row>
    <row r="7" spans="1:16">
      <c r="A7" s="14">
        <v>5</v>
      </c>
      <c r="B7" s="16"/>
      <c r="C7" s="16"/>
      <c r="D7" s="33"/>
      <c r="E7" s="16" t="str">
        <f t="shared" si="1"/>
        <v>"authorizationGroup": "",</v>
      </c>
      <c r="F7" s="5" t="s">
        <v>57</v>
      </c>
      <c r="G7" s="19" t="s">
        <v>72</v>
      </c>
      <c r="H7" s="19" t="s">
        <v>73</v>
      </c>
      <c r="I7" s="19" t="s">
        <v>73</v>
      </c>
      <c r="J7" s="19" t="s">
        <v>65</v>
      </c>
      <c r="K7" s="19">
        <v>4</v>
      </c>
      <c r="L7" s="19" t="s">
        <v>74</v>
      </c>
      <c r="N7" t="s">
        <v>75</v>
      </c>
      <c r="O7" s="6" t="s">
        <v>76</v>
      </c>
    </row>
    <row r="8" spans="1:16">
      <c r="A8" s="14">
        <v>6</v>
      </c>
      <c r="B8" s="16"/>
      <c r="C8" s="16"/>
      <c r="D8" s="16"/>
      <c r="E8" s="16" t="str">
        <f t="shared" si="1"/>
        <v>"businessCustomerType": "",</v>
      </c>
      <c r="F8" s="5" t="s">
        <v>57</v>
      </c>
      <c r="G8" s="82" t="s">
        <v>77</v>
      </c>
      <c r="H8" s="19" t="s">
        <v>78</v>
      </c>
      <c r="I8" s="19" t="s">
        <v>78</v>
      </c>
      <c r="J8" s="19" t="s">
        <v>65</v>
      </c>
      <c r="K8" s="19">
        <v>1</v>
      </c>
      <c r="L8" s="19" t="s">
        <v>74</v>
      </c>
      <c r="N8" t="s">
        <v>75</v>
      </c>
      <c r="O8" t="s">
        <v>79</v>
      </c>
      <c r="P8" t="s">
        <v>80</v>
      </c>
    </row>
    <row r="9" spans="1:16">
      <c r="A9" s="14">
        <v>7</v>
      </c>
      <c r="B9" s="16"/>
      <c r="C9" s="16" t="str">
        <f>IF(B8="person","p_",(IF(B8="organisation","o_",(IF(B8="person/organisation","po_","")))))</f>
        <v/>
      </c>
      <c r="D9" s="36"/>
      <c r="E9" s="16" t="str">
        <f t="shared" si="1"/>
        <v>"businessCustomerCategory": "",</v>
      </c>
      <c r="F9" s="5" t="s">
        <v>57</v>
      </c>
      <c r="G9" s="19" t="s">
        <v>81</v>
      </c>
      <c r="H9" s="19" t="s">
        <v>82</v>
      </c>
      <c r="I9" s="19" t="s">
        <v>82</v>
      </c>
      <c r="J9" s="19" t="s">
        <v>65</v>
      </c>
      <c r="K9" s="19">
        <v>4</v>
      </c>
      <c r="L9" s="19" t="s">
        <v>74</v>
      </c>
      <c r="N9" t="s">
        <v>75</v>
      </c>
      <c r="O9" t="s">
        <v>83</v>
      </c>
      <c r="P9" s="60">
        <v>1</v>
      </c>
    </row>
    <row r="10" spans="1:16">
      <c r="A10" s="63">
        <v>8</v>
      </c>
      <c r="B10" s="64"/>
      <c r="C10" s="64"/>
      <c r="D10" s="65"/>
      <c r="E10" s="64" t="str">
        <f t="shared" si="1"/>
        <v>"Name": {</v>
      </c>
      <c r="F10" s="66"/>
      <c r="G10" s="67" t="s">
        <v>84</v>
      </c>
      <c r="H10" s="68"/>
      <c r="I10" s="68"/>
      <c r="J10" s="68"/>
      <c r="K10" s="68"/>
      <c r="L10" s="68"/>
      <c r="M10" s="69"/>
      <c r="N10" s="69"/>
      <c r="O10" s="69"/>
      <c r="P10" s="69"/>
    </row>
    <row r="11" spans="1:16">
      <c r="A11" s="14">
        <v>9</v>
      </c>
      <c r="B11" s="16"/>
      <c r="C11" s="16" t="str">
        <f>IF(B9="person","p_",(IF(B9="organisation","o_",(IF(B9="person/organisation","po_","")))))</f>
        <v/>
      </c>
      <c r="D11" s="16"/>
      <c r="E11" s="16" t="str">
        <f t="shared" si="1"/>
        <v>"salutation": "",</v>
      </c>
      <c r="F11" s="5" t="s">
        <v>62</v>
      </c>
      <c r="G11" s="19" t="s">
        <v>85</v>
      </c>
      <c r="H11" s="19" t="s">
        <v>86</v>
      </c>
      <c r="I11" s="19" t="s">
        <v>86</v>
      </c>
      <c r="J11" s="19" t="s">
        <v>87</v>
      </c>
      <c r="K11" s="19">
        <v>4</v>
      </c>
      <c r="L11" s="19" t="s">
        <v>74</v>
      </c>
      <c r="N11" t="s">
        <v>75</v>
      </c>
      <c r="O11" t="s">
        <v>88</v>
      </c>
    </row>
    <row r="12" spans="1:16">
      <c r="A12" s="14">
        <v>10</v>
      </c>
      <c r="B12" s="16"/>
      <c r="C12" s="16" t="str">
        <f>IF(B11="person","p_",(IF(B11="organisation","o_",(IF(B11="person/organisation","po_","")))))</f>
        <v/>
      </c>
      <c r="D12" s="16"/>
      <c r="E12" s="16" t="str">
        <f t="shared" si="1"/>
        <v>"titlePre": "",</v>
      </c>
      <c r="F12" s="5" t="s">
        <v>62</v>
      </c>
      <c r="G12" s="19" t="s">
        <v>89</v>
      </c>
      <c r="H12" s="19" t="s">
        <v>90</v>
      </c>
      <c r="I12" s="19" t="s">
        <v>90</v>
      </c>
      <c r="J12" s="19" t="s">
        <v>87</v>
      </c>
      <c r="K12" s="19"/>
      <c r="L12" s="19" t="s">
        <v>74</v>
      </c>
      <c r="N12" t="s">
        <v>75</v>
      </c>
      <c r="O12" t="s">
        <v>91</v>
      </c>
    </row>
    <row r="13" spans="1:16">
      <c r="A13" s="14">
        <v>11</v>
      </c>
      <c r="B13" s="16"/>
      <c r="C13" s="16"/>
      <c r="D13" s="16"/>
      <c r="E13" s="16" t="str">
        <f t="shared" si="1"/>
        <v>"titlePost": "",</v>
      </c>
      <c r="F13" s="5" t="s">
        <v>62</v>
      </c>
      <c r="G13" s="19" t="s">
        <v>92</v>
      </c>
      <c r="H13" s="19" t="s">
        <v>93</v>
      </c>
      <c r="I13" s="19" t="s">
        <v>93</v>
      </c>
      <c r="J13" s="19" t="s">
        <v>87</v>
      </c>
      <c r="K13" s="19"/>
      <c r="L13" s="19" t="s">
        <v>74</v>
      </c>
      <c r="N13" t="s">
        <v>75</v>
      </c>
      <c r="O13" s="44" t="s">
        <v>94</v>
      </c>
    </row>
    <row r="14" spans="1:16">
      <c r="A14" s="14">
        <v>12</v>
      </c>
      <c r="B14" s="16"/>
      <c r="C14" s="16"/>
      <c r="D14" s="36"/>
      <c r="E14" s="16" t="str">
        <f t="shared" si="1"/>
        <v>"firstName": "",</v>
      </c>
      <c r="F14" s="5" t="s">
        <v>62</v>
      </c>
      <c r="G14" s="19" t="s">
        <v>95</v>
      </c>
      <c r="H14" s="19" t="s">
        <v>96</v>
      </c>
      <c r="I14" s="19" t="s">
        <v>96</v>
      </c>
      <c r="J14" s="19" t="s">
        <v>65</v>
      </c>
      <c r="K14" s="19">
        <v>40</v>
      </c>
      <c r="N14" t="s">
        <v>70</v>
      </c>
      <c r="O14" t="s">
        <v>97</v>
      </c>
    </row>
    <row r="15" spans="1:16">
      <c r="A15" s="14">
        <v>13</v>
      </c>
      <c r="B15" s="16"/>
      <c r="C15" s="16"/>
      <c r="D15" s="36"/>
      <c r="E15" s="16" t="str">
        <f t="shared" si="1"/>
        <v>"lastName": "",</v>
      </c>
      <c r="F15" s="5" t="s">
        <v>62</v>
      </c>
      <c r="G15" s="19" t="s">
        <v>98</v>
      </c>
      <c r="H15" s="19" t="s">
        <v>99</v>
      </c>
      <c r="I15" s="19" t="s">
        <v>99</v>
      </c>
      <c r="J15" s="19" t="s">
        <v>65</v>
      </c>
      <c r="K15" s="19">
        <v>40</v>
      </c>
      <c r="N15" t="s">
        <v>70</v>
      </c>
      <c r="O15" t="s">
        <v>100</v>
      </c>
    </row>
    <row r="16" spans="1:16">
      <c r="A16" s="14">
        <v>14</v>
      </c>
      <c r="B16" s="16"/>
      <c r="C16" s="16"/>
      <c r="D16" s="16"/>
      <c r="E16" s="16" t="str">
        <f t="shared" si="1"/>
        <v>"organisationName1": "",</v>
      </c>
      <c r="F16" s="5" t="s">
        <v>62</v>
      </c>
      <c r="G16" s="19" t="s">
        <v>101</v>
      </c>
      <c r="H16" s="19" t="s">
        <v>102</v>
      </c>
      <c r="I16" s="19" t="s">
        <v>102</v>
      </c>
      <c r="J16" s="19" t="s">
        <v>65</v>
      </c>
      <c r="K16" s="19">
        <v>40</v>
      </c>
      <c r="N16" t="s">
        <v>70</v>
      </c>
      <c r="O16" t="s">
        <v>103</v>
      </c>
    </row>
    <row r="17" spans="1:16">
      <c r="A17" s="14">
        <v>15</v>
      </c>
      <c r="B17" s="16"/>
      <c r="C17" s="16"/>
      <c r="D17" s="16"/>
      <c r="E17" s="16" t="str">
        <f t="shared" si="1"/>
        <v>"organisationName2": "",</v>
      </c>
      <c r="F17" s="5" t="s">
        <v>62</v>
      </c>
      <c r="G17" s="19" t="s">
        <v>104</v>
      </c>
      <c r="H17" s="19" t="s">
        <v>105</v>
      </c>
      <c r="I17" s="19" t="s">
        <v>105</v>
      </c>
      <c r="J17" s="19" t="s">
        <v>65</v>
      </c>
      <c r="K17" s="19">
        <v>40</v>
      </c>
      <c r="N17" t="s">
        <v>70</v>
      </c>
      <c r="O17" t="s">
        <v>106</v>
      </c>
    </row>
    <row r="18" spans="1:16">
      <c r="A18" s="14">
        <v>16</v>
      </c>
      <c r="B18" s="16"/>
      <c r="C18" s="16"/>
      <c r="D18" s="16"/>
      <c r="E18" s="16" t="str">
        <f t="shared" si="1"/>
        <v>"organisationName3": ""</v>
      </c>
      <c r="F18" s="5" t="s">
        <v>62</v>
      </c>
      <c r="G18" s="19" t="s">
        <v>107</v>
      </c>
      <c r="H18" s="19" t="s">
        <v>108</v>
      </c>
      <c r="I18" s="19" t="s">
        <v>108</v>
      </c>
      <c r="J18" s="19" t="s">
        <v>65</v>
      </c>
      <c r="K18" s="19">
        <v>40</v>
      </c>
      <c r="N18" t="s">
        <v>70</v>
      </c>
      <c r="O18" t="s">
        <v>109</v>
      </c>
    </row>
    <row r="19" spans="1:16">
      <c r="A19" s="14">
        <v>17</v>
      </c>
      <c r="B19" s="16"/>
      <c r="C19" s="16"/>
      <c r="D19" s="16"/>
      <c r="E19" s="16" t="str">
        <f t="shared" si="1"/>
        <v>"organisationName4": "",</v>
      </c>
      <c r="F19" s="5" t="s">
        <v>62</v>
      </c>
      <c r="G19" s="19" t="s">
        <v>110</v>
      </c>
      <c r="H19" s="19" t="s">
        <v>111</v>
      </c>
      <c r="I19" s="19" t="s">
        <v>111</v>
      </c>
      <c r="J19" s="19" t="s">
        <v>65</v>
      </c>
      <c r="K19" s="19">
        <v>40</v>
      </c>
      <c r="N19" t="s">
        <v>70</v>
      </c>
      <c r="O19" t="s">
        <v>112</v>
      </c>
    </row>
    <row r="20" spans="1:16" s="46" customFormat="1">
      <c r="A20" s="72">
        <v>18</v>
      </c>
      <c r="B20" s="73"/>
      <c r="C20" s="73"/>
      <c r="D20" s="73"/>
      <c r="E20" s="73" t="str">
        <f t="shared" si="1"/>
        <v>},</v>
      </c>
      <c r="F20" s="75"/>
      <c r="G20" s="67" t="s">
        <v>113</v>
      </c>
      <c r="H20" s="67"/>
      <c r="I20" s="67"/>
      <c r="J20" s="67"/>
      <c r="K20" s="67"/>
      <c r="L20" s="75"/>
      <c r="M20" s="76"/>
      <c r="N20" s="76"/>
      <c r="O20" s="76"/>
      <c r="P20" s="76"/>
    </row>
    <row r="21" spans="1:16">
      <c r="A21" s="14">
        <v>19</v>
      </c>
      <c r="B21" s="20"/>
      <c r="C21" s="16"/>
      <c r="D21" s="16"/>
      <c r="E21" s="16" t="str">
        <f t="shared" si="1"/>
        <v>"dateOfBirth": ,</v>
      </c>
      <c r="F21" s="5" t="s">
        <v>62</v>
      </c>
      <c r="G21" s="19" t="s">
        <v>114</v>
      </c>
      <c r="H21" s="19"/>
      <c r="I21" s="19" t="s">
        <v>115</v>
      </c>
      <c r="J21" s="19" t="s">
        <v>116</v>
      </c>
      <c r="K21" s="19"/>
      <c r="M21" t="s">
        <v>117</v>
      </c>
      <c r="N21" t="s">
        <v>70</v>
      </c>
      <c r="O21" t="s">
        <v>118</v>
      </c>
    </row>
    <row r="22" spans="1:16">
      <c r="A22" s="14">
        <v>20</v>
      </c>
      <c r="B22" s="16"/>
      <c r="C22" s="16"/>
      <c r="D22" s="16"/>
      <c r="E22" s="16" t="str">
        <f t="shared" si="1"/>
        <v>"dateOfDeath": ,</v>
      </c>
      <c r="F22" s="5" t="s">
        <v>62</v>
      </c>
      <c r="G22" s="19" t="s">
        <v>119</v>
      </c>
      <c r="H22" s="19"/>
      <c r="I22" s="19" t="s">
        <v>120</v>
      </c>
      <c r="J22" s="19" t="s">
        <v>116</v>
      </c>
      <c r="K22" s="19"/>
      <c r="M22" t="s">
        <v>117</v>
      </c>
      <c r="N22" t="s">
        <v>70</v>
      </c>
      <c r="O22" t="s">
        <v>121</v>
      </c>
    </row>
    <row r="23" spans="1:16">
      <c r="A23" s="14">
        <v>21</v>
      </c>
      <c r="B23" s="16"/>
      <c r="C23" s="16"/>
      <c r="D23" s="16"/>
      <c r="E23" s="16" t="str">
        <f t="shared" si="1"/>
        <v>"taxNumber": "",</v>
      </c>
      <c r="F23" s="5" t="s">
        <v>62</v>
      </c>
      <c r="G23" s="19" t="s">
        <v>122</v>
      </c>
      <c r="H23" s="19" t="s">
        <v>123</v>
      </c>
      <c r="I23" s="19" t="s">
        <v>124</v>
      </c>
      <c r="J23" s="19" t="s">
        <v>65</v>
      </c>
      <c r="K23" s="19">
        <v>20</v>
      </c>
      <c r="N23" t="s">
        <v>70</v>
      </c>
      <c r="O23" t="s">
        <v>125</v>
      </c>
      <c r="P23" s="6" t="s">
        <v>126</v>
      </c>
    </row>
    <row r="24" spans="1:16">
      <c r="A24" s="14">
        <v>22</v>
      </c>
      <c r="B24" s="16"/>
      <c r="C24" s="16"/>
      <c r="D24" s="16"/>
      <c r="E24" s="16" t="str">
        <f t="shared" si="1"/>
        <v>"taxNumberType": "",</v>
      </c>
      <c r="F24" s="5" t="s">
        <v>62</v>
      </c>
      <c r="G24" s="19" t="s">
        <v>127</v>
      </c>
      <c r="H24" s="19" t="s">
        <v>128</v>
      </c>
      <c r="I24" s="19" t="s">
        <v>129</v>
      </c>
      <c r="J24" s="19" t="s">
        <v>65</v>
      </c>
      <c r="K24" s="19">
        <v>4</v>
      </c>
      <c r="L24" s="5" t="s">
        <v>74</v>
      </c>
      <c r="N24" t="s">
        <v>75</v>
      </c>
      <c r="O24" t="s">
        <v>130</v>
      </c>
      <c r="P24" s="6" t="s">
        <v>126</v>
      </c>
    </row>
    <row r="25" spans="1:16">
      <c r="A25" s="14">
        <v>23</v>
      </c>
      <c r="B25" s="16"/>
      <c r="C25" s="16"/>
      <c r="D25" s="16"/>
      <c r="E25" s="16" t="str">
        <f t="shared" si="1"/>
        <v>"orgLiquidationDate": ,</v>
      </c>
      <c r="F25" s="5" t="s">
        <v>62</v>
      </c>
      <c r="G25" s="19" t="s">
        <v>131</v>
      </c>
      <c r="H25" s="19"/>
      <c r="I25" s="19" t="s">
        <v>132</v>
      </c>
      <c r="J25" s="19" t="s">
        <v>65</v>
      </c>
      <c r="K25" s="19">
        <v>10</v>
      </c>
      <c r="M25" t="s">
        <v>117</v>
      </c>
      <c r="N25" t="s">
        <v>70</v>
      </c>
      <c r="O25" s="44" t="s">
        <v>133</v>
      </c>
    </row>
    <row r="26" spans="1:16">
      <c r="A26" s="14">
        <v>26</v>
      </c>
      <c r="B26" s="16"/>
      <c r="C26" s="16"/>
      <c r="D26" s="21"/>
      <c r="E26" s="16" t="str">
        <f t="shared" si="1"/>
        <v>"companyRegisterNumber": "",</v>
      </c>
      <c r="F26" s="5" t="s">
        <v>62</v>
      </c>
      <c r="G26" s="19" t="s">
        <v>134</v>
      </c>
      <c r="H26" s="19" t="s">
        <v>135</v>
      </c>
      <c r="I26" s="19" t="s">
        <v>136</v>
      </c>
      <c r="J26" s="19" t="s">
        <v>65</v>
      </c>
      <c r="K26" s="19" t="s">
        <v>137</v>
      </c>
      <c r="N26" t="s">
        <v>70</v>
      </c>
      <c r="O26" s="44" t="s">
        <v>138</v>
      </c>
    </row>
    <row r="27" spans="1:16">
      <c r="A27" s="14">
        <v>27</v>
      </c>
      <c r="B27" s="16"/>
      <c r="C27" s="16"/>
      <c r="D27" s="22"/>
      <c r="E27" s="16" t="str">
        <f>IF(ISBLANK(F27),G27,IF(ISBLANK(M27),_xlfn.CONCAT($J$1,C27,G27,$J$1,": ",,$J$1,D27,$J$1,IF(LEFT(E29,1)="}","",",")),_xlfn.CONCAT($J$1,C27,G27,$J$1,": ",,,D27,,IF(LEFT(E29,1)="}","",","))))</f>
        <v>"classification": "",</v>
      </c>
      <c r="F27" s="5" t="s">
        <v>62</v>
      </c>
      <c r="G27" s="19" t="s">
        <v>139</v>
      </c>
      <c r="H27" s="19"/>
      <c r="I27" s="19" t="s">
        <v>140</v>
      </c>
      <c r="J27" s="19" t="s">
        <v>65</v>
      </c>
      <c r="K27" s="19">
        <v>4</v>
      </c>
      <c r="L27" s="5" t="s">
        <v>74</v>
      </c>
      <c r="N27" t="s">
        <v>75</v>
      </c>
      <c r="O27" t="s">
        <v>141</v>
      </c>
    </row>
    <row r="28" spans="1:16" s="46" customFormat="1">
      <c r="A28" s="72">
        <v>33</v>
      </c>
      <c r="B28" s="73"/>
      <c r="C28" s="73"/>
      <c r="D28" s="73"/>
      <c r="E28" s="73" t="str">
        <f>IF(ISBLANK(F28),G28,IF(ISBLANK(M28),_xlfn.CONCAT($J$1,C28,G28,$J$1,": ",,$J$1,D28,$J$1,IF(LEFT(E30,1)="}","",",")),_xlfn.CONCAT($J$1,C28,G28,$J$1,": ",,,D28,,IF(LEFT(E30,1)="}","",","))))</f>
        <v>"BankData": [ {</v>
      </c>
      <c r="F28" s="75"/>
      <c r="G28" s="77" t="s">
        <v>142</v>
      </c>
      <c r="H28" s="67"/>
      <c r="I28" s="67"/>
      <c r="J28" s="67"/>
      <c r="K28" s="67"/>
      <c r="L28" s="75"/>
      <c r="M28" s="76"/>
      <c r="N28" s="76"/>
      <c r="O28" s="76"/>
      <c r="P28" s="76"/>
    </row>
    <row r="29" spans="1:16">
      <c r="A29" s="14">
        <v>34</v>
      </c>
      <c r="B29" s="16"/>
      <c r="C29" s="16"/>
      <c r="D29" s="16"/>
      <c r="E29" s="16" t="str">
        <f t="shared" ref="E29:E52" si="2">IF(ISBLANK(F29),G29,IF(ISBLANK(M29),_xlfn.CONCAT($J$1,C29,G29,$J$1,": ",,$J$1,D29,$J$1,IF(LEFT(E31,1)="}","",",")),_xlfn.CONCAT($J$1,C29,G29,$J$1,": ",,,D29,,IF(LEFT(E31,1)="}","",","))))</f>
        <v>"bankAccountId": "",</v>
      </c>
      <c r="F29" s="5" t="s">
        <v>62</v>
      </c>
      <c r="G29" s="19" t="s">
        <v>143</v>
      </c>
      <c r="H29" s="19" t="s">
        <v>144</v>
      </c>
      <c r="I29" s="19" t="s">
        <v>145</v>
      </c>
      <c r="J29" s="19" t="s">
        <v>65</v>
      </c>
      <c r="K29" s="19">
        <v>60</v>
      </c>
      <c r="L29" s="19"/>
      <c r="N29" t="s">
        <v>70</v>
      </c>
      <c r="O29" t="s">
        <v>146</v>
      </c>
    </row>
    <row r="30" spans="1:16">
      <c r="A30" s="14">
        <v>35</v>
      </c>
      <c r="B30" s="16"/>
      <c r="C30" s="16"/>
      <c r="D30" s="16"/>
      <c r="E30" s="16" t="str">
        <f t="shared" si="2"/>
        <v>"accountHolder": "",</v>
      </c>
      <c r="F30" s="5" t="s">
        <v>62</v>
      </c>
      <c r="G30" s="19" t="s">
        <v>147</v>
      </c>
      <c r="H30" s="19" t="s">
        <v>148</v>
      </c>
      <c r="I30" s="19" t="s">
        <v>149</v>
      </c>
      <c r="J30" s="19" t="s">
        <v>65</v>
      </c>
      <c r="K30" s="19">
        <v>34</v>
      </c>
      <c r="N30" t="s">
        <v>70</v>
      </c>
      <c r="O30" s="44" t="s">
        <v>150</v>
      </c>
    </row>
    <row r="31" spans="1:16">
      <c r="A31" s="14">
        <v>36</v>
      </c>
      <c r="B31" s="16"/>
      <c r="C31" s="16"/>
      <c r="D31" s="16"/>
      <c r="E31" s="16" t="str">
        <f t="shared" si="2"/>
        <v>"internationalBankAccountNumber": "",</v>
      </c>
      <c r="F31" s="5" t="s">
        <v>57</v>
      </c>
      <c r="G31" s="19" t="s">
        <v>151</v>
      </c>
      <c r="H31" s="19" t="s">
        <v>144</v>
      </c>
      <c r="I31" s="19" t="s">
        <v>152</v>
      </c>
      <c r="J31" s="19" t="s">
        <v>116</v>
      </c>
      <c r="K31" s="19"/>
      <c r="N31" t="s">
        <v>153</v>
      </c>
      <c r="O31" t="s">
        <v>154</v>
      </c>
    </row>
    <row r="32" spans="1:16">
      <c r="A32" s="14">
        <v>37</v>
      </c>
      <c r="B32" s="16"/>
      <c r="C32" s="16"/>
      <c r="D32" s="16"/>
      <c r="E32" s="16" t="str">
        <f t="shared" si="2"/>
        <v xml:space="preserve">"bankAccountValidityStartDate": </v>
      </c>
      <c r="F32" s="5" t="s">
        <v>57</v>
      </c>
      <c r="G32" s="19" t="s">
        <v>155</v>
      </c>
      <c r="H32" s="19" t="s">
        <v>144</v>
      </c>
      <c r="I32" s="19" t="s">
        <v>156</v>
      </c>
      <c r="J32" s="19" t="s">
        <v>116</v>
      </c>
      <c r="K32" s="19"/>
      <c r="M32" t="s">
        <v>117</v>
      </c>
      <c r="N32" t="s">
        <v>70</v>
      </c>
      <c r="O32" t="s">
        <v>157</v>
      </c>
    </row>
    <row r="33" spans="1:16">
      <c r="A33" s="14">
        <v>38</v>
      </c>
      <c r="B33" s="16"/>
      <c r="C33" s="16"/>
      <c r="D33" s="16"/>
      <c r="E33" s="16" t="str">
        <f t="shared" si="2"/>
        <v>"bankAccountValidityEndDate": ,</v>
      </c>
      <c r="F33" s="5" t="s">
        <v>62</v>
      </c>
      <c r="G33" s="19" t="s">
        <v>158</v>
      </c>
      <c r="H33" s="19" t="s">
        <v>144</v>
      </c>
      <c r="I33" s="19" t="s">
        <v>159</v>
      </c>
      <c r="J33" s="19" t="s">
        <v>65</v>
      </c>
      <c r="K33" s="19">
        <v>60</v>
      </c>
      <c r="M33" t="s">
        <v>117</v>
      </c>
      <c r="N33" t="s">
        <v>70</v>
      </c>
      <c r="O33" t="s">
        <v>160</v>
      </c>
    </row>
    <row r="34" spans="1:16" s="46" customFormat="1">
      <c r="A34" s="72">
        <v>39</v>
      </c>
      <c r="B34" s="73"/>
      <c r="C34" s="73"/>
      <c r="D34" s="73"/>
      <c r="E34" s="73" t="str">
        <f t="shared" si="2"/>
        <v>}],</v>
      </c>
      <c r="F34" s="75"/>
      <c r="G34" s="77" t="s">
        <v>161</v>
      </c>
      <c r="H34" s="67"/>
      <c r="I34" s="75"/>
      <c r="J34" s="67"/>
      <c r="K34" s="67"/>
      <c r="L34" s="75"/>
      <c r="M34" s="76"/>
      <c r="N34" s="76"/>
      <c r="O34" s="76"/>
      <c r="P34" s="76"/>
    </row>
    <row r="35" spans="1:16" s="46" customFormat="1">
      <c r="A35" s="72">
        <v>40</v>
      </c>
      <c r="B35" s="73"/>
      <c r="C35" s="73"/>
      <c r="D35" s="73"/>
      <c r="E35" s="73" t="str">
        <f t="shared" si="2"/>
        <v>"AdressData":{</v>
      </c>
      <c r="F35" s="75"/>
      <c r="G35" s="67" t="s">
        <v>162</v>
      </c>
      <c r="H35" s="67"/>
      <c r="I35" s="67"/>
      <c r="J35" s="67"/>
      <c r="K35" s="67"/>
      <c r="L35" s="75"/>
      <c r="M35" s="76"/>
      <c r="N35" s="76"/>
      <c r="O35" s="76"/>
      <c r="P35" s="76"/>
    </row>
    <row r="36" spans="1:16">
      <c r="A36" s="14">
        <v>41</v>
      </c>
      <c r="B36" s="16"/>
      <c r="C36" s="16"/>
      <c r="D36" s="16"/>
      <c r="E36" s="16" t="str">
        <f t="shared" si="2"/>
        <v>"addressId": "",</v>
      </c>
      <c r="F36" s="5" t="s">
        <v>62</v>
      </c>
      <c r="G36" s="19" t="s">
        <v>163</v>
      </c>
      <c r="H36" s="19" t="s">
        <v>164</v>
      </c>
      <c r="I36" s="19" t="s">
        <v>164</v>
      </c>
      <c r="J36" s="19" t="s">
        <v>65</v>
      </c>
      <c r="K36" s="19">
        <v>10</v>
      </c>
      <c r="L36" s="19"/>
      <c r="N36" t="s">
        <v>70</v>
      </c>
      <c r="O36" t="s">
        <v>165</v>
      </c>
    </row>
    <row r="37" spans="1:16">
      <c r="A37" s="14">
        <v>42</v>
      </c>
      <c r="B37" s="16"/>
      <c r="C37" s="16"/>
      <c r="D37" s="16"/>
      <c r="E37" s="16" t="str">
        <f t="shared" si="2"/>
        <v>"street": "",</v>
      </c>
      <c r="F37" s="5" t="s">
        <v>62</v>
      </c>
      <c r="G37" s="19" t="s">
        <v>166</v>
      </c>
      <c r="H37" s="19" t="s">
        <v>167</v>
      </c>
      <c r="I37" s="19" t="s">
        <v>167</v>
      </c>
      <c r="J37" s="19" t="s">
        <v>65</v>
      </c>
      <c r="K37" s="19">
        <v>10</v>
      </c>
      <c r="L37" s="19"/>
      <c r="N37" t="s">
        <v>70</v>
      </c>
      <c r="O37" s="44" t="s">
        <v>168</v>
      </c>
    </row>
    <row r="38" spans="1:16">
      <c r="A38" s="14">
        <v>43</v>
      </c>
      <c r="B38" s="16"/>
      <c r="C38" s="16"/>
      <c r="D38" s="16"/>
      <c r="E38" s="16" t="str">
        <f t="shared" si="2"/>
        <v>"houseNumber": "",</v>
      </c>
      <c r="F38" s="5" t="s">
        <v>62</v>
      </c>
      <c r="G38" s="19" t="s">
        <v>169</v>
      </c>
      <c r="H38" s="19" t="s">
        <v>170</v>
      </c>
      <c r="I38" s="19" t="s">
        <v>170</v>
      </c>
      <c r="J38" s="19" t="s">
        <v>65</v>
      </c>
      <c r="K38" s="19">
        <v>10</v>
      </c>
      <c r="N38" t="s">
        <v>70</v>
      </c>
      <c r="O38" s="44" t="s">
        <v>171</v>
      </c>
    </row>
    <row r="39" spans="1:16">
      <c r="A39" s="14">
        <v>44</v>
      </c>
      <c r="B39" s="16"/>
      <c r="C39" s="16"/>
      <c r="D39" s="16"/>
      <c r="E39" s="16" t="str">
        <f t="shared" si="2"/>
        <v>"houseNumberSupplement": "",</v>
      </c>
      <c r="F39" s="5" t="s">
        <v>62</v>
      </c>
      <c r="G39" s="19" t="s">
        <v>172</v>
      </c>
      <c r="H39" s="19" t="s">
        <v>173</v>
      </c>
      <c r="I39" s="19" t="s">
        <v>173</v>
      </c>
      <c r="J39" s="19" t="s">
        <v>65</v>
      </c>
      <c r="K39" s="19">
        <v>40</v>
      </c>
      <c r="N39" t="s">
        <v>70</v>
      </c>
      <c r="O39" s="44" t="s">
        <v>174</v>
      </c>
    </row>
    <row r="40" spans="1:16">
      <c r="A40" s="14">
        <v>45</v>
      </c>
      <c r="B40" s="16"/>
      <c r="C40" s="16" t="str">
        <f t="shared" ref="C40:C45" si="3">IF(B40="person","p_",(IF(B40="organisation","o_",(IF(B40="person/organisation","po_","")))))</f>
        <v/>
      </c>
      <c r="D40" s="16"/>
      <c r="E40" s="16" t="str">
        <f t="shared" si="2"/>
        <v>"postalCode": "",</v>
      </c>
      <c r="F40" s="5" t="s">
        <v>62</v>
      </c>
      <c r="G40" s="19" t="s">
        <v>175</v>
      </c>
      <c r="H40" s="19" t="s">
        <v>176</v>
      </c>
      <c r="I40" s="19" t="s">
        <v>176</v>
      </c>
      <c r="J40" s="19" t="s">
        <v>65</v>
      </c>
      <c r="K40" s="19">
        <v>241</v>
      </c>
      <c r="N40" t="s">
        <v>70</v>
      </c>
      <c r="O40" s="44" t="s">
        <v>177</v>
      </c>
    </row>
    <row r="41" spans="1:16">
      <c r="A41" s="14">
        <v>46</v>
      </c>
      <c r="B41" s="16"/>
      <c r="C41" s="16" t="str">
        <f t="shared" si="3"/>
        <v/>
      </c>
      <c r="D41" s="16"/>
      <c r="E41" s="16" t="str">
        <f t="shared" si="2"/>
        <v>"city": "",</v>
      </c>
      <c r="F41" s="5" t="s">
        <v>62</v>
      </c>
      <c r="G41" s="19" t="s">
        <v>178</v>
      </c>
      <c r="H41" s="19" t="s">
        <v>179</v>
      </c>
      <c r="I41" s="19" t="s">
        <v>179</v>
      </c>
      <c r="J41" s="19" t="s">
        <v>65</v>
      </c>
      <c r="K41" s="19">
        <v>10</v>
      </c>
      <c r="N41" t="s">
        <v>70</v>
      </c>
      <c r="O41" s="44" t="s">
        <v>180</v>
      </c>
    </row>
    <row r="42" spans="1:16">
      <c r="A42" s="14"/>
      <c r="B42" s="16"/>
      <c r="C42" s="16"/>
      <c r="D42" s="16"/>
      <c r="E42" s="16" t="str">
        <f t="shared" si="2"/>
        <v>"region": "",</v>
      </c>
      <c r="F42" s="5" t="s">
        <v>62</v>
      </c>
      <c r="G42" s="19" t="s">
        <v>181</v>
      </c>
      <c r="H42" t="s">
        <v>182</v>
      </c>
      <c r="I42" t="s">
        <v>182</v>
      </c>
      <c r="J42" t="s">
        <v>65</v>
      </c>
      <c r="K42" s="19">
        <v>3</v>
      </c>
      <c r="L42" s="5" t="s">
        <v>74</v>
      </c>
      <c r="N42" t="s">
        <v>75</v>
      </c>
      <c r="O42" t="s">
        <v>183</v>
      </c>
    </row>
    <row r="43" spans="1:16">
      <c r="A43" s="14">
        <v>47</v>
      </c>
      <c r="B43" s="16"/>
      <c r="C43" s="16" t="str">
        <f t="shared" si="3"/>
        <v/>
      </c>
      <c r="D43" s="16"/>
      <c r="E43" s="16" t="str">
        <f t="shared" si="2"/>
        <v>"country": "",</v>
      </c>
      <c r="F43" s="5" t="s">
        <v>62</v>
      </c>
      <c r="G43" s="19" t="s">
        <v>184</v>
      </c>
      <c r="H43" s="19" t="s">
        <v>185</v>
      </c>
      <c r="I43" s="19" t="s">
        <v>185</v>
      </c>
      <c r="J43" s="19" t="s">
        <v>65</v>
      </c>
      <c r="K43" s="19">
        <v>10</v>
      </c>
      <c r="L43" s="5" t="s">
        <v>74</v>
      </c>
      <c r="N43" t="s">
        <v>75</v>
      </c>
      <c r="O43" s="44" t="s">
        <v>186</v>
      </c>
    </row>
    <row r="44" spans="1:16">
      <c r="A44" s="14">
        <v>53</v>
      </c>
      <c r="E44" s="16" t="str">
        <f t="shared" si="2"/>
        <v>"district": "",</v>
      </c>
      <c r="F44" s="5" t="s">
        <v>62</v>
      </c>
      <c r="G44" s="19" t="s">
        <v>187</v>
      </c>
      <c r="H44" s="19" t="s">
        <v>188</v>
      </c>
      <c r="I44" s="19" t="s">
        <v>188</v>
      </c>
      <c r="J44" s="61" t="s">
        <v>65</v>
      </c>
      <c r="K44" s="61">
        <v>40</v>
      </c>
      <c r="N44" t="s">
        <v>70</v>
      </c>
      <c r="O44" s="44" t="s">
        <v>189</v>
      </c>
    </row>
    <row r="45" spans="1:16">
      <c r="A45" s="14">
        <v>48</v>
      </c>
      <c r="B45" s="16"/>
      <c r="C45" s="16" t="str">
        <f t="shared" si="3"/>
        <v/>
      </c>
      <c r="D45" s="16"/>
      <c r="E45" s="16" t="str">
        <f t="shared" si="2"/>
        <v>"poBox": "",</v>
      </c>
      <c r="F45" s="5" t="s">
        <v>62</v>
      </c>
      <c r="G45" s="19" t="s">
        <v>190</v>
      </c>
      <c r="H45" s="19" t="s">
        <v>191</v>
      </c>
      <c r="I45" s="19" t="s">
        <v>191</v>
      </c>
      <c r="J45" s="19" t="s">
        <v>65</v>
      </c>
      <c r="K45" s="19">
        <v>10</v>
      </c>
      <c r="N45" t="s">
        <v>70</v>
      </c>
      <c r="O45" s="44" t="s">
        <v>192</v>
      </c>
    </row>
    <row r="46" spans="1:16">
      <c r="A46" s="14">
        <v>49</v>
      </c>
      <c r="E46" s="16" t="str">
        <f t="shared" si="2"/>
        <v>"poBoxPostalCode": "",</v>
      </c>
      <c r="F46" s="5" t="s">
        <v>62</v>
      </c>
      <c r="G46" s="19" t="s">
        <v>193</v>
      </c>
      <c r="H46" s="19" t="s">
        <v>194</v>
      </c>
      <c r="I46" s="19" t="s">
        <v>194</v>
      </c>
      <c r="J46" s="19" t="s">
        <v>65</v>
      </c>
      <c r="K46" s="19">
        <v>40</v>
      </c>
      <c r="N46" t="s">
        <v>70</v>
      </c>
      <c r="O46" s="44" t="s">
        <v>195</v>
      </c>
    </row>
    <row r="47" spans="1:16">
      <c r="A47" s="14">
        <v>50</v>
      </c>
      <c r="E47" s="16" t="str">
        <f t="shared" si="2"/>
        <v>"poBoxPostalCity": "",</v>
      </c>
      <c r="F47" s="5" t="s">
        <v>62</v>
      </c>
      <c r="G47" s="19" t="s">
        <v>196</v>
      </c>
      <c r="H47" s="19" t="s">
        <v>197</v>
      </c>
      <c r="I47" s="19" t="s">
        <v>197</v>
      </c>
      <c r="J47" s="19" t="s">
        <v>65</v>
      </c>
      <c r="K47" s="19">
        <v>3</v>
      </c>
      <c r="N47" t="s">
        <v>70</v>
      </c>
      <c r="O47" s="44" t="s">
        <v>198</v>
      </c>
    </row>
    <row r="48" spans="1:16">
      <c r="A48" s="14">
        <v>51</v>
      </c>
      <c r="E48" s="16" t="str">
        <f t="shared" si="2"/>
        <v>"poBoxPostalRegion": ""</v>
      </c>
      <c r="F48" s="5" t="s">
        <v>62</v>
      </c>
      <c r="G48" s="19" t="s">
        <v>199</v>
      </c>
      <c r="H48" s="19" t="s">
        <v>200</v>
      </c>
      <c r="I48" s="19" t="s">
        <v>200</v>
      </c>
      <c r="J48" s="19" t="s">
        <v>65</v>
      </c>
      <c r="K48" s="19">
        <v>3</v>
      </c>
      <c r="L48" s="5" t="s">
        <v>74</v>
      </c>
      <c r="N48" t="s">
        <v>75</v>
      </c>
      <c r="O48" s="44" t="s">
        <v>201</v>
      </c>
    </row>
    <row r="49" spans="1:16">
      <c r="A49" s="14">
        <v>52</v>
      </c>
      <c r="E49" s="16" t="str">
        <f t="shared" si="2"/>
        <v>"poBoxPostalCountry": "",</v>
      </c>
      <c r="F49" s="5" t="s">
        <v>62</v>
      </c>
      <c r="G49" s="19" t="s">
        <v>202</v>
      </c>
      <c r="H49" s="19" t="s">
        <v>203</v>
      </c>
      <c r="I49" s="19" t="s">
        <v>203</v>
      </c>
      <c r="J49" s="19" t="s">
        <v>65</v>
      </c>
      <c r="K49" s="19">
        <v>40</v>
      </c>
      <c r="L49" s="5" t="s">
        <v>74</v>
      </c>
      <c r="N49" t="s">
        <v>75</v>
      </c>
      <c r="O49" s="44" t="s">
        <v>204</v>
      </c>
    </row>
    <row r="50" spans="1:16" s="46" customFormat="1">
      <c r="A50" s="72">
        <v>54</v>
      </c>
      <c r="B50" s="75"/>
      <c r="C50" s="75"/>
      <c r="D50" s="75"/>
      <c r="E50" s="73" t="str">
        <f>IF(ISBLANK(F50),G50,IF(ISBLANK(M50),_xlfn.CONCAT($J$1,C50,G50,$J$1,": ",,$J$1,D50,$J$1,IF(LEFT(#REF!,1)="}","",",")),_xlfn.CONCAT($J$1,C50,G50,$J$1,": ",,,D50,,IF(LEFT(#REF!,1)="}","",","))))</f>
        <v>},</v>
      </c>
      <c r="F50" s="75"/>
      <c r="G50" s="67" t="s">
        <v>113</v>
      </c>
      <c r="H50" s="75"/>
      <c r="I50" s="67"/>
      <c r="J50" s="67"/>
      <c r="K50" s="67"/>
      <c r="L50" s="75"/>
      <c r="M50" s="76"/>
      <c r="N50" s="76"/>
      <c r="O50" s="78"/>
      <c r="P50" s="76"/>
    </row>
    <row r="51" spans="1:16">
      <c r="A51" s="14">
        <v>55</v>
      </c>
      <c r="E51" s="16" t="str">
        <f>IF(ISBLANK(F51),G51,IF(ISBLANK(M51),_xlfn.CONCAT($J$1,C51,G51,$J$1,": ",,$J$1,D51,$J$1,IF(LEFT(E52,1)="}","",",")),_xlfn.CONCAT($J$1,C51,G51,$J$1,": ",,,D51,,IF(LEFT(E52,1)="}","",","))))</f>
        <v>"industry": ""</v>
      </c>
      <c r="F51" s="5" t="s">
        <v>62</v>
      </c>
      <c r="G51" s="19" t="s">
        <v>205</v>
      </c>
      <c r="H51" s="16" t="s">
        <v>206</v>
      </c>
      <c r="I51" s="19" t="s">
        <v>207</v>
      </c>
      <c r="J51" s="19" t="s">
        <v>65</v>
      </c>
      <c r="K51" s="19">
        <v>10</v>
      </c>
      <c r="L51" s="5" t="s">
        <v>208</v>
      </c>
      <c r="N51" t="s">
        <v>75</v>
      </c>
      <c r="O51" s="44" t="s">
        <v>209</v>
      </c>
    </row>
    <row r="52" spans="1:16" s="46" customFormat="1">
      <c r="A52" s="72">
        <v>57</v>
      </c>
      <c r="B52" s="75"/>
      <c r="C52" s="75"/>
      <c r="D52" s="75"/>
      <c r="E52" s="73" t="str">
        <f t="shared" si="2"/>
        <v>}</v>
      </c>
      <c r="F52" s="75"/>
      <c r="G52" s="73" t="s">
        <v>210</v>
      </c>
      <c r="H52" s="75"/>
      <c r="I52" s="75"/>
      <c r="J52" s="75"/>
      <c r="K52" s="75"/>
      <c r="L52" s="75"/>
      <c r="M52" s="76"/>
      <c r="N52" s="76"/>
      <c r="O52" s="76"/>
      <c r="P52" s="76"/>
    </row>
    <row r="53" spans="1:16">
      <c r="A53" s="14">
        <v>58</v>
      </c>
    </row>
    <row r="54" spans="1:16">
      <c r="A54" s="14">
        <v>59</v>
      </c>
    </row>
    <row r="55" spans="1:16">
      <c r="A55" s="14">
        <v>60</v>
      </c>
    </row>
    <row r="56" spans="1:16">
      <c r="A56" s="14">
        <v>61</v>
      </c>
    </row>
    <row r="57" spans="1:16">
      <c r="A57" s="14">
        <v>62</v>
      </c>
    </row>
    <row r="58" spans="1:16">
      <c r="A58" s="14">
        <v>63</v>
      </c>
    </row>
    <row r="59" spans="1:16">
      <c r="A59" s="14">
        <v>64</v>
      </c>
    </row>
  </sheetData>
  <autoFilter ref="A2:P47" xr:uid="{02FB0506-52A2-4B73-BFD6-06CFDA61690E}"/>
  <mergeCells count="1">
    <mergeCell ref="A1:G1"/>
  </mergeCells>
  <phoneticPr fontId="8" type="noConversion"/>
  <pageMargins left="0.7" right="0.7" top="0.75" bottom="0.75" header="0.3" footer="0.3"/>
  <pageSetup paperSize="9" orientation="portrait"/>
  <headerFooter>
    <oddFooter>&amp;L_x000D_&amp;1#&amp;"Aptos"&amp;10&amp;K000000 TLP:AMBER - vertraulich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F8E0-2EF3-4399-A404-44AA65E8A213}">
  <sheetPr filterMode="1"/>
  <dimension ref="A1:E489"/>
  <sheetViews>
    <sheetView tabSelected="1" workbookViewId="0">
      <pane ySplit="1" topLeftCell="A418" activePane="bottomLeft" state="frozen"/>
      <selection pane="bottomLeft" activeCell="A423" sqref="A423"/>
    </sheetView>
  </sheetViews>
  <sheetFormatPr defaultRowHeight="15"/>
  <cols>
    <col min="1" max="1" width="40.140625" bestFit="1" customWidth="1"/>
    <col min="2" max="2" width="71.28515625" customWidth="1"/>
    <col min="3" max="3" width="39" bestFit="1" customWidth="1"/>
    <col min="4" max="4" width="14.42578125" bestFit="1" customWidth="1"/>
    <col min="5" max="5" width="9.5703125" bestFit="1" customWidth="1"/>
    <col min="6" max="6" width="15.7109375" customWidth="1"/>
  </cols>
  <sheetData>
    <row r="1" spans="1:5">
      <c r="A1" s="46" t="s">
        <v>211</v>
      </c>
      <c r="B1" s="46" t="s">
        <v>212</v>
      </c>
      <c r="C1" s="46" t="s">
        <v>213</v>
      </c>
      <c r="D1" s="46" t="s">
        <v>214</v>
      </c>
      <c r="E1" s="46" t="s">
        <v>215</v>
      </c>
    </row>
    <row r="2" spans="1:5" hidden="1">
      <c r="A2" t="s">
        <v>88</v>
      </c>
      <c r="B2" s="6" t="s">
        <v>216</v>
      </c>
      <c r="C2" s="19" t="s">
        <v>85</v>
      </c>
      <c r="D2" s="47" t="s">
        <v>217</v>
      </c>
    </row>
    <row r="3" spans="1:5" hidden="1">
      <c r="A3" t="s">
        <v>88</v>
      </c>
      <c r="B3" t="s">
        <v>218</v>
      </c>
      <c r="C3" s="19" t="s">
        <v>85</v>
      </c>
      <c r="D3" s="47" t="s">
        <v>219</v>
      </c>
    </row>
    <row r="4" spans="1:5" hidden="1">
      <c r="A4" t="s">
        <v>88</v>
      </c>
      <c r="B4" t="s">
        <v>220</v>
      </c>
      <c r="C4" s="19" t="s">
        <v>85</v>
      </c>
      <c r="D4" s="47" t="s">
        <v>221</v>
      </c>
    </row>
    <row r="5" spans="1:5" hidden="1">
      <c r="A5" t="s">
        <v>88</v>
      </c>
      <c r="B5" t="s">
        <v>222</v>
      </c>
      <c r="C5" s="19" t="s">
        <v>85</v>
      </c>
      <c r="D5" s="47" t="s">
        <v>223</v>
      </c>
    </row>
    <row r="6" spans="1:5" hidden="1">
      <c r="A6" t="s">
        <v>88</v>
      </c>
      <c r="B6" t="s">
        <v>224</v>
      </c>
      <c r="C6" s="19" t="s">
        <v>85</v>
      </c>
      <c r="D6" s="47" t="s">
        <v>225</v>
      </c>
    </row>
    <row r="7" spans="1:5" hidden="1">
      <c r="A7" t="s">
        <v>88</v>
      </c>
      <c r="B7" t="s">
        <v>226</v>
      </c>
      <c r="C7" s="19" t="s">
        <v>85</v>
      </c>
      <c r="D7" s="47" t="s">
        <v>227</v>
      </c>
    </row>
    <row r="8" spans="1:5" hidden="1">
      <c r="A8" t="s">
        <v>91</v>
      </c>
      <c r="B8" t="s">
        <v>228</v>
      </c>
      <c r="C8" s="19" t="s">
        <v>89</v>
      </c>
      <c r="D8" t="s">
        <v>229</v>
      </c>
    </row>
    <row r="9" spans="1:5" hidden="1">
      <c r="A9" t="s">
        <v>91</v>
      </c>
      <c r="B9" t="s">
        <v>230</v>
      </c>
      <c r="C9" s="19" t="s">
        <v>89</v>
      </c>
      <c r="D9" t="s">
        <v>231</v>
      </c>
    </row>
    <row r="10" spans="1:5" hidden="1">
      <c r="A10" t="s">
        <v>91</v>
      </c>
      <c r="B10" t="s">
        <v>232</v>
      </c>
      <c r="C10" s="19" t="s">
        <v>89</v>
      </c>
      <c r="D10" t="s">
        <v>233</v>
      </c>
    </row>
    <row r="11" spans="1:5" hidden="1">
      <c r="A11" t="s">
        <v>91</v>
      </c>
      <c r="B11" t="s">
        <v>234</v>
      </c>
      <c r="C11" s="19" t="s">
        <v>89</v>
      </c>
      <c r="D11" t="s">
        <v>235</v>
      </c>
    </row>
    <row r="12" spans="1:5" hidden="1">
      <c r="A12" t="s">
        <v>91</v>
      </c>
      <c r="B12" t="s">
        <v>236</v>
      </c>
      <c r="C12" s="19" t="s">
        <v>89</v>
      </c>
      <c r="D12" t="s">
        <v>237</v>
      </c>
    </row>
    <row r="13" spans="1:5" hidden="1">
      <c r="A13" t="s">
        <v>91</v>
      </c>
      <c r="B13" t="s">
        <v>238</v>
      </c>
      <c r="C13" s="19" t="s">
        <v>89</v>
      </c>
      <c r="D13" t="s">
        <v>239</v>
      </c>
    </row>
    <row r="14" spans="1:5" hidden="1">
      <c r="A14" t="s">
        <v>91</v>
      </c>
      <c r="B14" t="s">
        <v>240</v>
      </c>
      <c r="C14" s="19" t="s">
        <v>89</v>
      </c>
      <c r="D14" t="s">
        <v>241</v>
      </c>
    </row>
    <row r="15" spans="1:5" hidden="1">
      <c r="A15" t="s">
        <v>91</v>
      </c>
      <c r="B15" t="s">
        <v>242</v>
      </c>
      <c r="C15" s="19" t="s">
        <v>89</v>
      </c>
      <c r="D15" t="s">
        <v>243</v>
      </c>
    </row>
    <row r="16" spans="1:5" hidden="1">
      <c r="A16" t="s">
        <v>91</v>
      </c>
      <c r="B16" t="s">
        <v>244</v>
      </c>
      <c r="C16" s="19" t="s">
        <v>89</v>
      </c>
      <c r="D16" t="s">
        <v>245</v>
      </c>
    </row>
    <row r="17" spans="1:4" hidden="1">
      <c r="A17" t="s">
        <v>91</v>
      </c>
      <c r="B17" t="s">
        <v>246</v>
      </c>
      <c r="C17" s="19" t="s">
        <v>89</v>
      </c>
      <c r="D17" t="s">
        <v>247</v>
      </c>
    </row>
    <row r="18" spans="1:4" hidden="1">
      <c r="A18" t="s">
        <v>91</v>
      </c>
      <c r="B18" t="s">
        <v>248</v>
      </c>
      <c r="C18" s="19" t="s">
        <v>89</v>
      </c>
      <c r="D18" t="s">
        <v>249</v>
      </c>
    </row>
    <row r="19" spans="1:4" hidden="1">
      <c r="A19" t="s">
        <v>91</v>
      </c>
      <c r="B19" t="s">
        <v>250</v>
      </c>
      <c r="C19" s="19" t="s">
        <v>89</v>
      </c>
      <c r="D19" t="s">
        <v>251</v>
      </c>
    </row>
    <row r="20" spans="1:4" hidden="1">
      <c r="A20" t="s">
        <v>91</v>
      </c>
      <c r="B20" t="s">
        <v>252</v>
      </c>
      <c r="C20" s="19" t="s">
        <v>89</v>
      </c>
      <c r="D20" t="s">
        <v>253</v>
      </c>
    </row>
    <row r="21" spans="1:4" hidden="1">
      <c r="A21" t="s">
        <v>91</v>
      </c>
      <c r="B21" t="s">
        <v>254</v>
      </c>
      <c r="C21" s="19" t="s">
        <v>89</v>
      </c>
      <c r="D21" t="s">
        <v>255</v>
      </c>
    </row>
    <row r="22" spans="1:4" hidden="1">
      <c r="A22" t="s">
        <v>91</v>
      </c>
      <c r="B22" t="s">
        <v>256</v>
      </c>
      <c r="C22" s="19" t="s">
        <v>89</v>
      </c>
      <c r="D22" t="s">
        <v>257</v>
      </c>
    </row>
    <row r="23" spans="1:4" hidden="1">
      <c r="A23" t="s">
        <v>91</v>
      </c>
      <c r="B23" t="s">
        <v>258</v>
      </c>
      <c r="C23" s="19" t="s">
        <v>89</v>
      </c>
      <c r="D23" t="s">
        <v>259</v>
      </c>
    </row>
    <row r="24" spans="1:4" hidden="1">
      <c r="A24" t="s">
        <v>91</v>
      </c>
      <c r="B24" t="s">
        <v>260</v>
      </c>
      <c r="C24" s="19" t="s">
        <v>89</v>
      </c>
      <c r="D24" t="s">
        <v>261</v>
      </c>
    </row>
    <row r="25" spans="1:4" hidden="1">
      <c r="A25" t="s">
        <v>91</v>
      </c>
      <c r="B25" t="s">
        <v>262</v>
      </c>
      <c r="C25" s="19" t="s">
        <v>89</v>
      </c>
      <c r="D25" t="s">
        <v>263</v>
      </c>
    </row>
    <row r="26" spans="1:4" hidden="1">
      <c r="A26" t="s">
        <v>91</v>
      </c>
      <c r="B26" t="s">
        <v>264</v>
      </c>
      <c r="C26" s="19" t="s">
        <v>89</v>
      </c>
      <c r="D26" t="s">
        <v>265</v>
      </c>
    </row>
    <row r="27" spans="1:4" hidden="1">
      <c r="A27" t="s">
        <v>91</v>
      </c>
      <c r="B27" t="s">
        <v>266</v>
      </c>
      <c r="C27" s="19" t="s">
        <v>89</v>
      </c>
      <c r="D27" t="s">
        <v>267</v>
      </c>
    </row>
    <row r="28" spans="1:4" hidden="1">
      <c r="A28" t="s">
        <v>91</v>
      </c>
      <c r="B28" t="s">
        <v>268</v>
      </c>
      <c r="C28" s="19" t="s">
        <v>89</v>
      </c>
      <c r="D28" t="s">
        <v>269</v>
      </c>
    </row>
    <row r="29" spans="1:4" hidden="1">
      <c r="A29" t="s">
        <v>91</v>
      </c>
      <c r="B29" t="s">
        <v>270</v>
      </c>
      <c r="C29" s="19" t="s">
        <v>89</v>
      </c>
      <c r="D29" t="s">
        <v>271</v>
      </c>
    </row>
    <row r="30" spans="1:4" hidden="1">
      <c r="A30" t="s">
        <v>91</v>
      </c>
      <c r="B30" t="s">
        <v>272</v>
      </c>
      <c r="C30" s="19" t="s">
        <v>89</v>
      </c>
      <c r="D30" t="s">
        <v>273</v>
      </c>
    </row>
    <row r="31" spans="1:4" hidden="1">
      <c r="A31" t="s">
        <v>91</v>
      </c>
      <c r="B31" t="s">
        <v>274</v>
      </c>
      <c r="C31" s="19" t="s">
        <v>89</v>
      </c>
      <c r="D31" t="s">
        <v>275</v>
      </c>
    </row>
    <row r="32" spans="1:4" hidden="1">
      <c r="A32" t="s">
        <v>91</v>
      </c>
      <c r="B32" t="s">
        <v>276</v>
      </c>
      <c r="C32" s="19" t="s">
        <v>89</v>
      </c>
      <c r="D32" t="s">
        <v>277</v>
      </c>
    </row>
    <row r="33" spans="1:4" hidden="1">
      <c r="A33" t="s">
        <v>91</v>
      </c>
      <c r="B33" t="s">
        <v>278</v>
      </c>
      <c r="C33" s="19" t="s">
        <v>89</v>
      </c>
      <c r="D33" t="s">
        <v>279</v>
      </c>
    </row>
    <row r="34" spans="1:4" hidden="1">
      <c r="A34" t="s">
        <v>91</v>
      </c>
      <c r="B34" t="s">
        <v>280</v>
      </c>
      <c r="C34" s="19" t="s">
        <v>89</v>
      </c>
      <c r="D34" t="s">
        <v>281</v>
      </c>
    </row>
    <row r="35" spans="1:4" hidden="1">
      <c r="A35" t="s">
        <v>91</v>
      </c>
      <c r="B35" t="s">
        <v>282</v>
      </c>
      <c r="C35" s="19" t="s">
        <v>89</v>
      </c>
      <c r="D35" t="s">
        <v>283</v>
      </c>
    </row>
    <row r="36" spans="1:4" hidden="1">
      <c r="A36" t="s">
        <v>91</v>
      </c>
      <c r="B36" t="s">
        <v>284</v>
      </c>
      <c r="C36" s="19" t="s">
        <v>89</v>
      </c>
      <c r="D36" t="s">
        <v>285</v>
      </c>
    </row>
    <row r="37" spans="1:4" hidden="1">
      <c r="A37" t="s">
        <v>91</v>
      </c>
      <c r="B37" t="s">
        <v>286</v>
      </c>
      <c r="C37" s="19" t="s">
        <v>89</v>
      </c>
      <c r="D37" t="s">
        <v>287</v>
      </c>
    </row>
    <row r="38" spans="1:4" hidden="1">
      <c r="A38" t="s">
        <v>91</v>
      </c>
      <c r="B38" t="s">
        <v>288</v>
      </c>
      <c r="C38" s="19" t="s">
        <v>89</v>
      </c>
      <c r="D38" t="s">
        <v>289</v>
      </c>
    </row>
    <row r="39" spans="1:4" hidden="1">
      <c r="A39" t="s">
        <v>91</v>
      </c>
      <c r="B39" t="s">
        <v>290</v>
      </c>
      <c r="C39" s="19" t="s">
        <v>89</v>
      </c>
      <c r="D39" t="s">
        <v>291</v>
      </c>
    </row>
    <row r="40" spans="1:4" hidden="1">
      <c r="A40" t="s">
        <v>91</v>
      </c>
      <c r="B40" t="s">
        <v>292</v>
      </c>
      <c r="C40" s="19" t="s">
        <v>89</v>
      </c>
      <c r="D40" t="s">
        <v>293</v>
      </c>
    </row>
    <row r="41" spans="1:4" hidden="1">
      <c r="A41" t="s">
        <v>91</v>
      </c>
      <c r="B41" t="s">
        <v>294</v>
      </c>
      <c r="C41" s="19" t="s">
        <v>89</v>
      </c>
      <c r="D41" t="s">
        <v>295</v>
      </c>
    </row>
    <row r="42" spans="1:4" hidden="1">
      <c r="A42" t="s">
        <v>91</v>
      </c>
      <c r="B42" t="s">
        <v>296</v>
      </c>
      <c r="C42" s="19" t="s">
        <v>89</v>
      </c>
      <c r="D42" t="s">
        <v>297</v>
      </c>
    </row>
    <row r="43" spans="1:4" hidden="1">
      <c r="A43" t="s">
        <v>91</v>
      </c>
      <c r="B43" t="s">
        <v>298</v>
      </c>
      <c r="C43" s="19" t="s">
        <v>89</v>
      </c>
      <c r="D43" t="s">
        <v>299</v>
      </c>
    </row>
    <row r="44" spans="1:4" hidden="1">
      <c r="A44" t="s">
        <v>91</v>
      </c>
      <c r="B44" t="s">
        <v>300</v>
      </c>
      <c r="C44" s="19" t="s">
        <v>89</v>
      </c>
      <c r="D44" t="s">
        <v>301</v>
      </c>
    </row>
    <row r="45" spans="1:4" hidden="1">
      <c r="A45" t="s">
        <v>91</v>
      </c>
      <c r="B45" t="s">
        <v>302</v>
      </c>
      <c r="C45" s="19" t="s">
        <v>89</v>
      </c>
      <c r="D45" t="s">
        <v>303</v>
      </c>
    </row>
    <row r="46" spans="1:4" hidden="1">
      <c r="A46" t="s">
        <v>91</v>
      </c>
      <c r="B46" t="s">
        <v>304</v>
      </c>
      <c r="C46" s="19" t="s">
        <v>89</v>
      </c>
      <c r="D46" t="s">
        <v>305</v>
      </c>
    </row>
    <row r="47" spans="1:4" hidden="1">
      <c r="A47" t="s">
        <v>91</v>
      </c>
      <c r="B47" t="s">
        <v>306</v>
      </c>
      <c r="C47" s="19" t="s">
        <v>89</v>
      </c>
      <c r="D47" t="s">
        <v>307</v>
      </c>
    </row>
    <row r="48" spans="1:4" hidden="1">
      <c r="A48" t="s">
        <v>91</v>
      </c>
      <c r="B48" t="s">
        <v>308</v>
      </c>
      <c r="C48" s="19" t="s">
        <v>89</v>
      </c>
      <c r="D48" t="s">
        <v>309</v>
      </c>
    </row>
    <row r="49" spans="1:4" hidden="1">
      <c r="A49" t="s">
        <v>91</v>
      </c>
      <c r="B49" t="s">
        <v>310</v>
      </c>
      <c r="C49" s="19" t="s">
        <v>89</v>
      </c>
      <c r="D49" t="s">
        <v>311</v>
      </c>
    </row>
    <row r="50" spans="1:4" hidden="1">
      <c r="A50" t="s">
        <v>91</v>
      </c>
      <c r="B50" t="s">
        <v>312</v>
      </c>
      <c r="C50" s="19" t="s">
        <v>89</v>
      </c>
      <c r="D50" t="s">
        <v>313</v>
      </c>
    </row>
    <row r="51" spans="1:4" hidden="1">
      <c r="A51" t="s">
        <v>91</v>
      </c>
      <c r="B51" t="s">
        <v>314</v>
      </c>
      <c r="C51" s="19" t="s">
        <v>89</v>
      </c>
      <c r="D51" t="s">
        <v>315</v>
      </c>
    </row>
    <row r="52" spans="1:4" hidden="1">
      <c r="A52" t="s">
        <v>91</v>
      </c>
      <c r="B52" t="s">
        <v>316</v>
      </c>
      <c r="C52" s="19" t="s">
        <v>89</v>
      </c>
      <c r="D52" t="s">
        <v>317</v>
      </c>
    </row>
    <row r="53" spans="1:4" hidden="1">
      <c r="A53" t="s">
        <v>91</v>
      </c>
      <c r="B53" t="s">
        <v>318</v>
      </c>
      <c r="C53" s="19" t="s">
        <v>89</v>
      </c>
      <c r="D53" t="s">
        <v>319</v>
      </c>
    </row>
    <row r="54" spans="1:4" hidden="1">
      <c r="A54" t="s">
        <v>91</v>
      </c>
      <c r="B54" t="s">
        <v>320</v>
      </c>
      <c r="C54" s="19" t="s">
        <v>89</v>
      </c>
      <c r="D54" t="s">
        <v>321</v>
      </c>
    </row>
    <row r="55" spans="1:4" hidden="1">
      <c r="A55" t="s">
        <v>91</v>
      </c>
      <c r="B55" t="s">
        <v>322</v>
      </c>
      <c r="C55" s="19" t="s">
        <v>89</v>
      </c>
      <c r="D55" t="s">
        <v>323</v>
      </c>
    </row>
    <row r="56" spans="1:4" hidden="1">
      <c r="A56" t="s">
        <v>91</v>
      </c>
      <c r="B56" t="s">
        <v>324</v>
      </c>
      <c r="C56" s="19" t="s">
        <v>89</v>
      </c>
      <c r="D56" t="s">
        <v>325</v>
      </c>
    </row>
    <row r="57" spans="1:4" hidden="1">
      <c r="A57" t="s">
        <v>91</v>
      </c>
      <c r="B57" t="s">
        <v>326</v>
      </c>
      <c r="C57" s="19" t="s">
        <v>89</v>
      </c>
      <c r="D57" t="s">
        <v>327</v>
      </c>
    </row>
    <row r="58" spans="1:4" hidden="1">
      <c r="A58" t="s">
        <v>91</v>
      </c>
      <c r="B58" t="s">
        <v>328</v>
      </c>
      <c r="C58" s="19" t="s">
        <v>89</v>
      </c>
      <c r="D58" t="s">
        <v>329</v>
      </c>
    </row>
    <row r="59" spans="1:4" hidden="1">
      <c r="A59" t="s">
        <v>91</v>
      </c>
      <c r="B59" t="s">
        <v>330</v>
      </c>
      <c r="C59" s="19" t="s">
        <v>89</v>
      </c>
      <c r="D59" t="s">
        <v>331</v>
      </c>
    </row>
    <row r="60" spans="1:4" hidden="1">
      <c r="A60" t="s">
        <v>91</v>
      </c>
      <c r="B60" t="s">
        <v>332</v>
      </c>
      <c r="C60" s="19" t="s">
        <v>89</v>
      </c>
      <c r="D60" t="s">
        <v>333</v>
      </c>
    </row>
    <row r="61" spans="1:4" hidden="1">
      <c r="A61" t="s">
        <v>91</v>
      </c>
      <c r="B61" t="s">
        <v>334</v>
      </c>
      <c r="C61" s="19" t="s">
        <v>89</v>
      </c>
      <c r="D61" t="s">
        <v>335</v>
      </c>
    </row>
    <row r="62" spans="1:4" hidden="1">
      <c r="A62" t="s">
        <v>91</v>
      </c>
      <c r="B62" t="s">
        <v>336</v>
      </c>
      <c r="C62" s="19" t="s">
        <v>89</v>
      </c>
      <c r="D62" t="s">
        <v>337</v>
      </c>
    </row>
    <row r="63" spans="1:4" hidden="1">
      <c r="A63" t="s">
        <v>91</v>
      </c>
      <c r="B63" t="s">
        <v>338</v>
      </c>
      <c r="C63" s="19" t="s">
        <v>89</v>
      </c>
      <c r="D63" t="s">
        <v>339</v>
      </c>
    </row>
    <row r="64" spans="1:4" hidden="1">
      <c r="A64" t="s">
        <v>91</v>
      </c>
      <c r="B64" t="s">
        <v>340</v>
      </c>
      <c r="C64" s="19" t="s">
        <v>89</v>
      </c>
      <c r="D64" t="s">
        <v>341</v>
      </c>
    </row>
    <row r="65" spans="1:4" hidden="1">
      <c r="A65" t="s">
        <v>91</v>
      </c>
      <c r="B65" t="s">
        <v>342</v>
      </c>
      <c r="C65" s="19" t="s">
        <v>89</v>
      </c>
      <c r="D65" t="s">
        <v>343</v>
      </c>
    </row>
    <row r="66" spans="1:4" hidden="1">
      <c r="A66" t="s">
        <v>91</v>
      </c>
      <c r="B66" t="s">
        <v>344</v>
      </c>
      <c r="C66" s="19" t="s">
        <v>89</v>
      </c>
      <c r="D66" t="s">
        <v>345</v>
      </c>
    </row>
    <row r="67" spans="1:4" hidden="1">
      <c r="A67" t="s">
        <v>91</v>
      </c>
      <c r="B67" t="s">
        <v>346</v>
      </c>
      <c r="C67" s="19" t="s">
        <v>89</v>
      </c>
      <c r="D67" t="s">
        <v>347</v>
      </c>
    </row>
    <row r="68" spans="1:4" hidden="1">
      <c r="A68" t="s">
        <v>91</v>
      </c>
      <c r="B68" t="s">
        <v>348</v>
      </c>
      <c r="C68" s="19" t="s">
        <v>89</v>
      </c>
      <c r="D68" t="s">
        <v>349</v>
      </c>
    </row>
    <row r="69" spans="1:4" hidden="1">
      <c r="A69" t="s">
        <v>91</v>
      </c>
      <c r="B69" t="s">
        <v>350</v>
      </c>
      <c r="C69" s="19" t="s">
        <v>89</v>
      </c>
      <c r="D69" t="s">
        <v>351</v>
      </c>
    </row>
    <row r="70" spans="1:4" hidden="1">
      <c r="A70" t="s">
        <v>91</v>
      </c>
      <c r="B70" t="s">
        <v>352</v>
      </c>
      <c r="C70" s="19" t="s">
        <v>89</v>
      </c>
      <c r="D70" t="s">
        <v>353</v>
      </c>
    </row>
    <row r="71" spans="1:4" hidden="1">
      <c r="A71" t="s">
        <v>91</v>
      </c>
      <c r="B71" t="s">
        <v>354</v>
      </c>
      <c r="C71" s="19" t="s">
        <v>89</v>
      </c>
      <c r="D71" t="s">
        <v>355</v>
      </c>
    </row>
    <row r="72" spans="1:4" hidden="1">
      <c r="A72" t="s">
        <v>91</v>
      </c>
      <c r="B72" t="s">
        <v>356</v>
      </c>
      <c r="C72" s="19" t="s">
        <v>89</v>
      </c>
      <c r="D72" t="s">
        <v>357</v>
      </c>
    </row>
    <row r="73" spans="1:4" hidden="1">
      <c r="A73" t="s">
        <v>91</v>
      </c>
      <c r="B73" t="s">
        <v>358</v>
      </c>
      <c r="C73" s="19" t="s">
        <v>89</v>
      </c>
      <c r="D73" t="s">
        <v>359</v>
      </c>
    </row>
    <row r="74" spans="1:4" hidden="1">
      <c r="A74" t="s">
        <v>91</v>
      </c>
      <c r="B74" t="s">
        <v>360</v>
      </c>
      <c r="C74" s="19" t="s">
        <v>89</v>
      </c>
      <c r="D74" t="s">
        <v>361</v>
      </c>
    </row>
    <row r="75" spans="1:4" hidden="1">
      <c r="A75" t="s">
        <v>91</v>
      </c>
      <c r="B75" t="s">
        <v>362</v>
      </c>
      <c r="C75" s="19" t="s">
        <v>89</v>
      </c>
      <c r="D75" t="s">
        <v>363</v>
      </c>
    </row>
    <row r="76" spans="1:4" hidden="1">
      <c r="A76" t="s">
        <v>91</v>
      </c>
      <c r="B76" t="s">
        <v>364</v>
      </c>
      <c r="C76" s="19" t="s">
        <v>89</v>
      </c>
      <c r="D76" t="s">
        <v>365</v>
      </c>
    </row>
    <row r="77" spans="1:4" hidden="1">
      <c r="A77" t="s">
        <v>91</v>
      </c>
      <c r="B77" t="s">
        <v>366</v>
      </c>
      <c r="C77" s="19" t="s">
        <v>89</v>
      </c>
      <c r="D77" t="s">
        <v>367</v>
      </c>
    </row>
    <row r="78" spans="1:4" hidden="1">
      <c r="A78" t="s">
        <v>91</v>
      </c>
      <c r="B78" t="s">
        <v>368</v>
      </c>
      <c r="C78" s="19" t="s">
        <v>89</v>
      </c>
      <c r="D78" t="s">
        <v>369</v>
      </c>
    </row>
    <row r="79" spans="1:4" hidden="1">
      <c r="A79" t="s">
        <v>91</v>
      </c>
      <c r="B79" t="s">
        <v>370</v>
      </c>
      <c r="C79" s="19" t="s">
        <v>89</v>
      </c>
      <c r="D79" t="s">
        <v>371</v>
      </c>
    </row>
    <row r="80" spans="1:4" hidden="1">
      <c r="A80" t="s">
        <v>91</v>
      </c>
      <c r="B80" t="s">
        <v>372</v>
      </c>
      <c r="C80" s="19" t="s">
        <v>89</v>
      </c>
      <c r="D80" t="s">
        <v>373</v>
      </c>
    </row>
    <row r="81" spans="1:4" hidden="1">
      <c r="A81" t="s">
        <v>91</v>
      </c>
      <c r="B81" t="s">
        <v>374</v>
      </c>
      <c r="C81" s="19" t="s">
        <v>89</v>
      </c>
      <c r="D81" t="s">
        <v>375</v>
      </c>
    </row>
    <row r="82" spans="1:4" hidden="1">
      <c r="A82" t="s">
        <v>91</v>
      </c>
      <c r="B82" t="s">
        <v>376</v>
      </c>
      <c r="C82" s="19" t="s">
        <v>89</v>
      </c>
      <c r="D82" t="s">
        <v>377</v>
      </c>
    </row>
    <row r="83" spans="1:4" hidden="1">
      <c r="A83" t="s">
        <v>91</v>
      </c>
      <c r="B83" t="s">
        <v>378</v>
      </c>
      <c r="C83" s="19" t="s">
        <v>89</v>
      </c>
      <c r="D83" t="s">
        <v>379</v>
      </c>
    </row>
    <row r="84" spans="1:4" hidden="1">
      <c r="A84" t="s">
        <v>91</v>
      </c>
      <c r="B84" t="s">
        <v>380</v>
      </c>
      <c r="C84" s="19" t="s">
        <v>89</v>
      </c>
      <c r="D84" t="s">
        <v>381</v>
      </c>
    </row>
    <row r="85" spans="1:4" hidden="1">
      <c r="A85" t="s">
        <v>91</v>
      </c>
      <c r="B85" t="s">
        <v>382</v>
      </c>
      <c r="C85" s="19" t="s">
        <v>89</v>
      </c>
      <c r="D85" t="s">
        <v>383</v>
      </c>
    </row>
    <row r="86" spans="1:4" hidden="1">
      <c r="A86" t="s">
        <v>91</v>
      </c>
      <c r="B86" t="s">
        <v>384</v>
      </c>
      <c r="C86" s="19" t="s">
        <v>89</v>
      </c>
      <c r="D86" t="s">
        <v>385</v>
      </c>
    </row>
    <row r="87" spans="1:4" hidden="1">
      <c r="A87" t="s">
        <v>91</v>
      </c>
      <c r="B87" t="s">
        <v>386</v>
      </c>
      <c r="C87" s="19" t="s">
        <v>89</v>
      </c>
      <c r="D87" t="s">
        <v>387</v>
      </c>
    </row>
    <row r="88" spans="1:4" hidden="1">
      <c r="A88" t="s">
        <v>91</v>
      </c>
      <c r="B88" t="s">
        <v>388</v>
      </c>
      <c r="C88" s="19" t="s">
        <v>89</v>
      </c>
      <c r="D88" t="s">
        <v>389</v>
      </c>
    </row>
    <row r="89" spans="1:4" hidden="1">
      <c r="A89" t="s">
        <v>91</v>
      </c>
      <c r="B89" t="s">
        <v>390</v>
      </c>
      <c r="C89" s="19" t="s">
        <v>89</v>
      </c>
      <c r="D89" t="s">
        <v>391</v>
      </c>
    </row>
    <row r="90" spans="1:4" hidden="1">
      <c r="A90" t="s">
        <v>91</v>
      </c>
      <c r="B90" t="s">
        <v>392</v>
      </c>
      <c r="C90" s="19" t="s">
        <v>89</v>
      </c>
      <c r="D90" t="s">
        <v>393</v>
      </c>
    </row>
    <row r="91" spans="1:4" hidden="1">
      <c r="A91" t="s">
        <v>91</v>
      </c>
      <c r="B91" t="s">
        <v>394</v>
      </c>
      <c r="C91" s="19" t="s">
        <v>89</v>
      </c>
      <c r="D91" t="s">
        <v>395</v>
      </c>
    </row>
    <row r="92" spans="1:4" hidden="1">
      <c r="A92" t="s">
        <v>91</v>
      </c>
      <c r="B92" t="s">
        <v>396</v>
      </c>
      <c r="C92" s="19" t="s">
        <v>89</v>
      </c>
      <c r="D92" t="s">
        <v>397</v>
      </c>
    </row>
    <row r="93" spans="1:4" hidden="1">
      <c r="A93" t="s">
        <v>91</v>
      </c>
      <c r="B93" t="s">
        <v>398</v>
      </c>
      <c r="C93" s="19" t="s">
        <v>89</v>
      </c>
      <c r="D93" t="s">
        <v>399</v>
      </c>
    </row>
    <row r="94" spans="1:4" hidden="1">
      <c r="A94" t="s">
        <v>91</v>
      </c>
      <c r="B94" t="s">
        <v>400</v>
      </c>
      <c r="C94" s="19" t="s">
        <v>89</v>
      </c>
      <c r="D94" t="s">
        <v>401</v>
      </c>
    </row>
    <row r="95" spans="1:4" hidden="1">
      <c r="A95" t="s">
        <v>91</v>
      </c>
      <c r="B95" t="s">
        <v>402</v>
      </c>
      <c r="C95" s="19" t="s">
        <v>89</v>
      </c>
      <c r="D95" t="s">
        <v>403</v>
      </c>
    </row>
    <row r="96" spans="1:4" hidden="1">
      <c r="A96" t="s">
        <v>91</v>
      </c>
      <c r="B96" t="s">
        <v>404</v>
      </c>
      <c r="C96" s="19" t="s">
        <v>89</v>
      </c>
      <c r="D96" t="s">
        <v>405</v>
      </c>
    </row>
    <row r="97" spans="1:4" hidden="1">
      <c r="A97" t="s">
        <v>91</v>
      </c>
      <c r="B97" t="s">
        <v>406</v>
      </c>
      <c r="C97" s="19" t="s">
        <v>89</v>
      </c>
      <c r="D97" t="s">
        <v>407</v>
      </c>
    </row>
    <row r="98" spans="1:4" hidden="1">
      <c r="A98" t="s">
        <v>91</v>
      </c>
      <c r="B98" t="s">
        <v>408</v>
      </c>
      <c r="C98" s="19" t="s">
        <v>89</v>
      </c>
      <c r="D98" t="s">
        <v>409</v>
      </c>
    </row>
    <row r="99" spans="1:4" hidden="1">
      <c r="A99" t="s">
        <v>91</v>
      </c>
      <c r="B99" t="s">
        <v>410</v>
      </c>
      <c r="C99" s="19" t="s">
        <v>89</v>
      </c>
      <c r="D99" t="s">
        <v>411</v>
      </c>
    </row>
    <row r="100" spans="1:4" hidden="1">
      <c r="A100" t="s">
        <v>91</v>
      </c>
      <c r="B100" t="s">
        <v>412</v>
      </c>
      <c r="C100" s="19" t="s">
        <v>89</v>
      </c>
      <c r="D100" t="s">
        <v>413</v>
      </c>
    </row>
    <row r="101" spans="1:4" hidden="1">
      <c r="A101" t="s">
        <v>91</v>
      </c>
      <c r="B101" t="s">
        <v>414</v>
      </c>
      <c r="C101" s="19" t="s">
        <v>89</v>
      </c>
      <c r="D101" t="s">
        <v>415</v>
      </c>
    </row>
    <row r="102" spans="1:4" hidden="1">
      <c r="A102" t="s">
        <v>91</v>
      </c>
      <c r="B102" t="s">
        <v>416</v>
      </c>
      <c r="C102" s="19" t="s">
        <v>89</v>
      </c>
      <c r="D102" t="s">
        <v>417</v>
      </c>
    </row>
    <row r="103" spans="1:4" hidden="1">
      <c r="A103" t="s">
        <v>91</v>
      </c>
      <c r="B103" t="s">
        <v>418</v>
      </c>
      <c r="C103" s="19" t="s">
        <v>89</v>
      </c>
      <c r="D103" t="s">
        <v>419</v>
      </c>
    </row>
    <row r="104" spans="1:4" hidden="1">
      <c r="A104" t="s">
        <v>91</v>
      </c>
      <c r="B104" t="s">
        <v>420</v>
      </c>
      <c r="C104" s="19" t="s">
        <v>89</v>
      </c>
      <c r="D104" t="s">
        <v>421</v>
      </c>
    </row>
    <row r="105" spans="1:4" hidden="1">
      <c r="A105" t="s">
        <v>91</v>
      </c>
      <c r="B105" t="s">
        <v>422</v>
      </c>
      <c r="C105" s="19" t="s">
        <v>89</v>
      </c>
      <c r="D105" t="s">
        <v>423</v>
      </c>
    </row>
    <row r="106" spans="1:4" hidden="1">
      <c r="A106" t="s">
        <v>91</v>
      </c>
      <c r="B106" t="s">
        <v>424</v>
      </c>
      <c r="C106" s="19" t="s">
        <v>89</v>
      </c>
      <c r="D106" t="s">
        <v>425</v>
      </c>
    </row>
    <row r="107" spans="1:4" hidden="1">
      <c r="A107" t="s">
        <v>91</v>
      </c>
      <c r="B107" t="s">
        <v>426</v>
      </c>
      <c r="C107" s="19" t="s">
        <v>89</v>
      </c>
      <c r="D107" t="s">
        <v>427</v>
      </c>
    </row>
    <row r="108" spans="1:4" hidden="1">
      <c r="A108" t="s">
        <v>91</v>
      </c>
      <c r="B108" t="s">
        <v>428</v>
      </c>
      <c r="C108" s="19" t="s">
        <v>89</v>
      </c>
      <c r="D108" t="s">
        <v>429</v>
      </c>
    </row>
    <row r="109" spans="1:4" hidden="1">
      <c r="A109" t="s">
        <v>91</v>
      </c>
      <c r="B109" t="s">
        <v>430</v>
      </c>
      <c r="C109" s="19" t="s">
        <v>89</v>
      </c>
      <c r="D109" t="s">
        <v>431</v>
      </c>
    </row>
    <row r="110" spans="1:4" hidden="1">
      <c r="A110" t="s">
        <v>91</v>
      </c>
      <c r="B110" t="s">
        <v>432</v>
      </c>
      <c r="C110" s="19" t="s">
        <v>89</v>
      </c>
      <c r="D110" t="s">
        <v>433</v>
      </c>
    </row>
    <row r="111" spans="1:4" hidden="1">
      <c r="A111" t="s">
        <v>91</v>
      </c>
      <c r="B111" t="s">
        <v>434</v>
      </c>
      <c r="C111" s="19" t="s">
        <v>89</v>
      </c>
      <c r="D111" t="s">
        <v>435</v>
      </c>
    </row>
    <row r="112" spans="1:4" hidden="1">
      <c r="A112" s="44" t="s">
        <v>94</v>
      </c>
      <c r="B112" t="s">
        <v>436</v>
      </c>
      <c r="C112" s="19" t="s">
        <v>92</v>
      </c>
      <c r="D112" t="s">
        <v>437</v>
      </c>
    </row>
    <row r="113" spans="1:4" hidden="1">
      <c r="A113" s="44" t="s">
        <v>94</v>
      </c>
      <c r="B113" t="s">
        <v>438</v>
      </c>
      <c r="C113" s="19" t="s">
        <v>92</v>
      </c>
      <c r="D113" t="s">
        <v>439</v>
      </c>
    </row>
    <row r="114" spans="1:4" hidden="1">
      <c r="A114" s="44" t="s">
        <v>94</v>
      </c>
      <c r="B114" t="s">
        <v>440</v>
      </c>
      <c r="C114" s="19" t="s">
        <v>92</v>
      </c>
      <c r="D114" t="s">
        <v>441</v>
      </c>
    </row>
    <row r="115" spans="1:4" hidden="1">
      <c r="A115" s="44" t="s">
        <v>94</v>
      </c>
      <c r="B115" t="s">
        <v>442</v>
      </c>
      <c r="C115" s="19" t="s">
        <v>92</v>
      </c>
      <c r="D115" t="s">
        <v>443</v>
      </c>
    </row>
    <row r="116" spans="1:4" hidden="1">
      <c r="A116" s="44" t="s">
        <v>94</v>
      </c>
      <c r="B116" t="s">
        <v>444</v>
      </c>
      <c r="C116" s="19" t="s">
        <v>92</v>
      </c>
      <c r="D116" t="s">
        <v>445</v>
      </c>
    </row>
    <row r="117" spans="1:4" hidden="1">
      <c r="A117" s="44" t="s">
        <v>94</v>
      </c>
      <c r="B117" t="s">
        <v>446</v>
      </c>
      <c r="C117" s="19" t="s">
        <v>92</v>
      </c>
      <c r="D117" t="s">
        <v>447</v>
      </c>
    </row>
    <row r="118" spans="1:4" hidden="1">
      <c r="A118" s="44" t="s">
        <v>94</v>
      </c>
      <c r="B118" t="s">
        <v>448</v>
      </c>
      <c r="C118" s="19" t="s">
        <v>92</v>
      </c>
      <c r="D118" t="s">
        <v>449</v>
      </c>
    </row>
    <row r="119" spans="1:4" hidden="1">
      <c r="A119" s="44" t="s">
        <v>94</v>
      </c>
      <c r="B119" t="s">
        <v>450</v>
      </c>
      <c r="C119" s="19" t="s">
        <v>92</v>
      </c>
      <c r="D119" t="s">
        <v>451</v>
      </c>
    </row>
    <row r="120" spans="1:4" hidden="1">
      <c r="A120" s="44" t="s">
        <v>94</v>
      </c>
      <c r="B120" t="s">
        <v>452</v>
      </c>
      <c r="C120" s="19" t="s">
        <v>92</v>
      </c>
      <c r="D120" t="s">
        <v>453</v>
      </c>
    </row>
    <row r="121" spans="1:4" hidden="1">
      <c r="A121" s="44" t="s">
        <v>94</v>
      </c>
      <c r="B121" t="s">
        <v>454</v>
      </c>
      <c r="C121" s="19" t="s">
        <v>92</v>
      </c>
      <c r="D121" t="s">
        <v>455</v>
      </c>
    </row>
    <row r="122" spans="1:4" hidden="1">
      <c r="A122" s="44" t="s">
        <v>94</v>
      </c>
      <c r="B122" t="s">
        <v>456</v>
      </c>
      <c r="C122" s="19" t="s">
        <v>92</v>
      </c>
      <c r="D122" t="s">
        <v>457</v>
      </c>
    </row>
    <row r="123" spans="1:4" hidden="1">
      <c r="A123" s="44" t="s">
        <v>94</v>
      </c>
      <c r="B123" t="s">
        <v>458</v>
      </c>
      <c r="C123" s="19" t="s">
        <v>92</v>
      </c>
      <c r="D123" t="s">
        <v>459</v>
      </c>
    </row>
    <row r="124" spans="1:4" hidden="1">
      <c r="A124" s="44" t="s">
        <v>94</v>
      </c>
      <c r="B124" t="s">
        <v>460</v>
      </c>
      <c r="C124" s="19" t="s">
        <v>92</v>
      </c>
      <c r="D124" t="s">
        <v>461</v>
      </c>
    </row>
    <row r="125" spans="1:4" hidden="1">
      <c r="A125" s="44" t="s">
        <v>94</v>
      </c>
      <c r="B125" t="s">
        <v>462</v>
      </c>
      <c r="C125" s="19" t="s">
        <v>92</v>
      </c>
      <c r="D125" t="s">
        <v>463</v>
      </c>
    </row>
    <row r="126" spans="1:4" hidden="1">
      <c r="A126" s="44" t="s">
        <v>94</v>
      </c>
      <c r="B126" t="s">
        <v>464</v>
      </c>
      <c r="C126" s="19" t="s">
        <v>92</v>
      </c>
      <c r="D126" t="s">
        <v>465</v>
      </c>
    </row>
    <row r="127" spans="1:4" hidden="1">
      <c r="A127" s="23" t="s">
        <v>466</v>
      </c>
      <c r="B127" s="23" t="s">
        <v>467</v>
      </c>
      <c r="C127" s="19" t="s">
        <v>205</v>
      </c>
      <c r="D127" s="48" t="s">
        <v>468</v>
      </c>
    </row>
    <row r="128" spans="1:4" hidden="1">
      <c r="A128" s="23" t="s">
        <v>466</v>
      </c>
      <c r="B128" s="23" t="s">
        <v>469</v>
      </c>
      <c r="C128" s="19" t="s">
        <v>205</v>
      </c>
      <c r="D128" s="48" t="s">
        <v>470</v>
      </c>
    </row>
    <row r="129" spans="1:4" hidden="1">
      <c r="A129" s="23" t="s">
        <v>466</v>
      </c>
      <c r="B129" s="23" t="s">
        <v>471</v>
      </c>
      <c r="C129" s="19" t="s">
        <v>205</v>
      </c>
      <c r="D129" s="48" t="s">
        <v>472</v>
      </c>
    </row>
    <row r="130" spans="1:4" hidden="1">
      <c r="A130" s="23" t="s">
        <v>466</v>
      </c>
      <c r="B130" s="23" t="s">
        <v>473</v>
      </c>
      <c r="C130" s="19" t="s">
        <v>205</v>
      </c>
      <c r="D130" s="48" t="s">
        <v>474</v>
      </c>
    </row>
    <row r="131" spans="1:4" hidden="1">
      <c r="A131" s="23" t="s">
        <v>466</v>
      </c>
      <c r="B131" s="23" t="s">
        <v>475</v>
      </c>
      <c r="C131" s="19" t="s">
        <v>205</v>
      </c>
      <c r="D131" s="48" t="s">
        <v>476</v>
      </c>
    </row>
    <row r="132" spans="1:4" hidden="1">
      <c r="A132" s="23" t="s">
        <v>466</v>
      </c>
      <c r="B132" s="23" t="s">
        <v>477</v>
      </c>
      <c r="C132" s="19" t="s">
        <v>205</v>
      </c>
      <c r="D132" s="48" t="s">
        <v>478</v>
      </c>
    </row>
    <row r="133" spans="1:4" hidden="1">
      <c r="A133" s="23" t="s">
        <v>466</v>
      </c>
      <c r="B133" s="23" t="s">
        <v>479</v>
      </c>
      <c r="C133" s="19" t="s">
        <v>205</v>
      </c>
      <c r="D133" s="48" t="s">
        <v>480</v>
      </c>
    </row>
    <row r="134" spans="1:4" hidden="1">
      <c r="A134" s="23" t="s">
        <v>466</v>
      </c>
      <c r="B134" s="23" t="s">
        <v>481</v>
      </c>
      <c r="C134" s="19" t="s">
        <v>205</v>
      </c>
      <c r="D134" s="48" t="s">
        <v>482</v>
      </c>
    </row>
    <row r="135" spans="1:4" hidden="1">
      <c r="A135" s="23" t="s">
        <v>466</v>
      </c>
      <c r="B135" s="23" t="s">
        <v>483</v>
      </c>
      <c r="C135" s="19" t="s">
        <v>205</v>
      </c>
      <c r="D135" s="48" t="s">
        <v>484</v>
      </c>
    </row>
    <row r="136" spans="1:4" hidden="1">
      <c r="A136" s="23" t="s">
        <v>466</v>
      </c>
      <c r="B136" s="23" t="s">
        <v>485</v>
      </c>
      <c r="C136" s="19" t="s">
        <v>205</v>
      </c>
      <c r="D136" s="48" t="s">
        <v>486</v>
      </c>
    </row>
    <row r="137" spans="1:4" hidden="1">
      <c r="A137" s="23" t="s">
        <v>466</v>
      </c>
      <c r="B137" s="23" t="s">
        <v>487</v>
      </c>
      <c r="C137" s="19" t="s">
        <v>205</v>
      </c>
      <c r="D137" s="48" t="s">
        <v>488</v>
      </c>
    </row>
    <row r="138" spans="1:4" hidden="1">
      <c r="A138" s="23" t="s">
        <v>466</v>
      </c>
      <c r="B138" s="23" t="s">
        <v>489</v>
      </c>
      <c r="C138" s="19" t="s">
        <v>205</v>
      </c>
      <c r="D138" s="48" t="s">
        <v>490</v>
      </c>
    </row>
    <row r="139" spans="1:4" hidden="1">
      <c r="A139" s="23" t="s">
        <v>466</v>
      </c>
      <c r="B139" s="23" t="s">
        <v>491</v>
      </c>
      <c r="C139" s="19" t="s">
        <v>205</v>
      </c>
      <c r="D139" s="48" t="s">
        <v>492</v>
      </c>
    </row>
    <row r="140" spans="1:4" hidden="1">
      <c r="A140" s="23" t="s">
        <v>466</v>
      </c>
      <c r="B140" s="23" t="s">
        <v>493</v>
      </c>
      <c r="C140" s="19" t="s">
        <v>205</v>
      </c>
      <c r="D140" s="48" t="s">
        <v>494</v>
      </c>
    </row>
    <row r="141" spans="1:4" hidden="1">
      <c r="A141" s="23" t="s">
        <v>466</v>
      </c>
      <c r="B141" s="23" t="s">
        <v>495</v>
      </c>
      <c r="C141" s="19" t="s">
        <v>205</v>
      </c>
      <c r="D141" s="48" t="s">
        <v>496</v>
      </c>
    </row>
    <row r="142" spans="1:4" hidden="1">
      <c r="A142" s="23" t="s">
        <v>466</v>
      </c>
      <c r="B142" s="23" t="s">
        <v>497</v>
      </c>
      <c r="C142" s="19" t="s">
        <v>205</v>
      </c>
      <c r="D142" s="48" t="s">
        <v>498</v>
      </c>
    </row>
    <row r="143" spans="1:4" hidden="1">
      <c r="A143" s="23" t="s">
        <v>466</v>
      </c>
      <c r="B143" s="23" t="s">
        <v>499</v>
      </c>
      <c r="C143" s="19" t="s">
        <v>205</v>
      </c>
      <c r="D143" s="48" t="s">
        <v>500</v>
      </c>
    </row>
    <row r="144" spans="1:4" hidden="1">
      <c r="A144" s="23" t="s">
        <v>466</v>
      </c>
      <c r="B144" s="23" t="s">
        <v>501</v>
      </c>
      <c r="C144" s="19" t="s">
        <v>205</v>
      </c>
      <c r="D144" s="48" t="s">
        <v>502</v>
      </c>
    </row>
    <row r="145" spans="1:4" hidden="1">
      <c r="A145" s="23" t="s">
        <v>466</v>
      </c>
      <c r="B145" s="23" t="s">
        <v>503</v>
      </c>
      <c r="C145" s="19" t="s">
        <v>205</v>
      </c>
      <c r="D145" s="48" t="s">
        <v>504</v>
      </c>
    </row>
    <row r="146" spans="1:4" hidden="1">
      <c r="A146" s="23" t="s">
        <v>466</v>
      </c>
      <c r="B146" s="23" t="s">
        <v>505</v>
      </c>
      <c r="C146" s="19" t="s">
        <v>205</v>
      </c>
      <c r="D146" s="48" t="s">
        <v>506</v>
      </c>
    </row>
    <row r="147" spans="1:4" hidden="1">
      <c r="A147" s="23" t="s">
        <v>466</v>
      </c>
      <c r="B147" s="23" t="s">
        <v>507</v>
      </c>
      <c r="C147" s="19" t="s">
        <v>205</v>
      </c>
      <c r="D147" s="48" t="s">
        <v>508</v>
      </c>
    </row>
    <row r="148" spans="1:4" hidden="1">
      <c r="A148" s="23" t="s">
        <v>466</v>
      </c>
      <c r="B148" s="23" t="s">
        <v>509</v>
      </c>
      <c r="C148" s="19" t="s">
        <v>205</v>
      </c>
      <c r="D148" s="48" t="s">
        <v>510</v>
      </c>
    </row>
    <row r="149" spans="1:4" hidden="1">
      <c r="A149" s="23" t="s">
        <v>466</v>
      </c>
      <c r="B149" s="23" t="s">
        <v>511</v>
      </c>
      <c r="C149" s="19" t="s">
        <v>205</v>
      </c>
      <c r="D149" s="48" t="s">
        <v>512</v>
      </c>
    </row>
    <row r="150" spans="1:4" hidden="1">
      <c r="A150" s="23" t="s">
        <v>466</v>
      </c>
      <c r="B150" s="23" t="s">
        <v>513</v>
      </c>
      <c r="C150" s="19" t="s">
        <v>205</v>
      </c>
      <c r="D150" s="48" t="s">
        <v>514</v>
      </c>
    </row>
    <row r="151" spans="1:4" hidden="1">
      <c r="A151" s="23" t="s">
        <v>466</v>
      </c>
      <c r="B151" s="23" t="s">
        <v>515</v>
      </c>
      <c r="C151" s="19" t="s">
        <v>205</v>
      </c>
      <c r="D151" s="48" t="s">
        <v>516</v>
      </c>
    </row>
    <row r="152" spans="1:4" hidden="1">
      <c r="A152" s="23" t="s">
        <v>466</v>
      </c>
      <c r="B152" s="23" t="s">
        <v>517</v>
      </c>
      <c r="C152" s="19" t="s">
        <v>205</v>
      </c>
      <c r="D152" s="48" t="s">
        <v>518</v>
      </c>
    </row>
    <row r="153" spans="1:4" hidden="1">
      <c r="A153" s="23" t="s">
        <v>466</v>
      </c>
      <c r="B153" s="23" t="s">
        <v>519</v>
      </c>
      <c r="C153" s="19" t="s">
        <v>205</v>
      </c>
      <c r="D153" s="48" t="s">
        <v>520</v>
      </c>
    </row>
    <row r="154" spans="1:4" hidden="1">
      <c r="A154" s="23" t="s">
        <v>466</v>
      </c>
      <c r="B154" s="23" t="s">
        <v>521</v>
      </c>
      <c r="C154" s="19" t="s">
        <v>205</v>
      </c>
      <c r="D154" s="48" t="s">
        <v>522</v>
      </c>
    </row>
    <row r="155" spans="1:4" hidden="1">
      <c r="A155" s="23" t="s">
        <v>466</v>
      </c>
      <c r="B155" s="23" t="s">
        <v>523</v>
      </c>
      <c r="C155" s="19" t="s">
        <v>205</v>
      </c>
      <c r="D155" s="48" t="s">
        <v>524</v>
      </c>
    </row>
    <row r="156" spans="1:4" hidden="1">
      <c r="A156" s="23" t="s">
        <v>466</v>
      </c>
      <c r="B156" s="23" t="s">
        <v>525</v>
      </c>
      <c r="C156" s="19" t="s">
        <v>205</v>
      </c>
      <c r="D156" s="48" t="s">
        <v>526</v>
      </c>
    </row>
    <row r="157" spans="1:4" hidden="1">
      <c r="A157" s="23" t="s">
        <v>466</v>
      </c>
      <c r="B157" s="23" t="s">
        <v>527</v>
      </c>
      <c r="C157" s="19" t="s">
        <v>205</v>
      </c>
      <c r="D157" s="48" t="s">
        <v>528</v>
      </c>
    </row>
    <row r="158" spans="1:4" hidden="1">
      <c r="A158" s="23" t="s">
        <v>466</v>
      </c>
      <c r="B158" s="23" t="s">
        <v>529</v>
      </c>
      <c r="C158" s="19" t="s">
        <v>205</v>
      </c>
      <c r="D158" s="48" t="s">
        <v>530</v>
      </c>
    </row>
    <row r="159" spans="1:4" hidden="1">
      <c r="A159" s="23" t="s">
        <v>466</v>
      </c>
      <c r="B159" s="23" t="s">
        <v>531</v>
      </c>
      <c r="C159" s="19" t="s">
        <v>205</v>
      </c>
      <c r="D159" s="48" t="s">
        <v>532</v>
      </c>
    </row>
    <row r="160" spans="1:4" hidden="1">
      <c r="A160" s="23" t="s">
        <v>466</v>
      </c>
      <c r="B160" s="23" t="s">
        <v>533</v>
      </c>
      <c r="C160" s="19" t="s">
        <v>205</v>
      </c>
      <c r="D160" s="48" t="s">
        <v>534</v>
      </c>
    </row>
    <row r="161" spans="1:4" hidden="1">
      <c r="A161" s="23" t="s">
        <v>466</v>
      </c>
      <c r="B161" s="23" t="s">
        <v>535</v>
      </c>
      <c r="C161" s="19" t="s">
        <v>205</v>
      </c>
      <c r="D161" s="48" t="s">
        <v>536</v>
      </c>
    </row>
    <row r="162" spans="1:4" hidden="1">
      <c r="A162" s="23" t="s">
        <v>466</v>
      </c>
      <c r="B162" s="23" t="s">
        <v>537</v>
      </c>
      <c r="C162" s="19" t="s">
        <v>205</v>
      </c>
      <c r="D162" s="48" t="s">
        <v>538</v>
      </c>
    </row>
    <row r="163" spans="1:4" hidden="1">
      <c r="A163" s="23" t="s">
        <v>466</v>
      </c>
      <c r="B163" s="23" t="s">
        <v>539</v>
      </c>
      <c r="C163" s="19" t="s">
        <v>205</v>
      </c>
      <c r="D163" s="48" t="s">
        <v>540</v>
      </c>
    </row>
    <row r="164" spans="1:4" hidden="1">
      <c r="A164" s="23" t="s">
        <v>466</v>
      </c>
      <c r="B164" s="23" t="s">
        <v>541</v>
      </c>
      <c r="C164" s="19" t="s">
        <v>205</v>
      </c>
      <c r="D164" s="48" t="s">
        <v>542</v>
      </c>
    </row>
    <row r="165" spans="1:4" hidden="1">
      <c r="A165" s="23" t="s">
        <v>466</v>
      </c>
      <c r="B165" s="23" t="s">
        <v>543</v>
      </c>
      <c r="C165" s="19" t="s">
        <v>205</v>
      </c>
      <c r="D165" s="48" t="s">
        <v>544</v>
      </c>
    </row>
    <row r="166" spans="1:4" hidden="1">
      <c r="A166" s="23" t="s">
        <v>466</v>
      </c>
      <c r="B166" s="23" t="s">
        <v>545</v>
      </c>
      <c r="C166" s="19" t="s">
        <v>205</v>
      </c>
      <c r="D166" s="48" t="s">
        <v>546</v>
      </c>
    </row>
    <row r="167" spans="1:4" hidden="1">
      <c r="A167" s="23" t="s">
        <v>466</v>
      </c>
      <c r="B167" s="23" t="s">
        <v>547</v>
      </c>
      <c r="C167" s="19" t="s">
        <v>205</v>
      </c>
      <c r="D167" s="48" t="s">
        <v>548</v>
      </c>
    </row>
    <row r="168" spans="1:4" hidden="1">
      <c r="A168" s="23" t="s">
        <v>466</v>
      </c>
      <c r="B168" s="23" t="s">
        <v>549</v>
      </c>
      <c r="C168" s="19" t="s">
        <v>205</v>
      </c>
      <c r="D168" s="48" t="s">
        <v>550</v>
      </c>
    </row>
    <row r="169" spans="1:4" hidden="1">
      <c r="A169" s="23" t="s">
        <v>466</v>
      </c>
      <c r="B169" s="23" t="s">
        <v>551</v>
      </c>
      <c r="C169" s="19" t="s">
        <v>205</v>
      </c>
      <c r="D169" s="48" t="s">
        <v>552</v>
      </c>
    </row>
    <row r="170" spans="1:4" hidden="1">
      <c r="A170" s="23" t="s">
        <v>466</v>
      </c>
      <c r="B170" s="23" t="s">
        <v>553</v>
      </c>
      <c r="C170" s="19" t="s">
        <v>205</v>
      </c>
      <c r="D170" s="48" t="s">
        <v>554</v>
      </c>
    </row>
    <row r="171" spans="1:4" hidden="1">
      <c r="A171" s="23" t="s">
        <v>466</v>
      </c>
      <c r="B171" s="23" t="s">
        <v>555</v>
      </c>
      <c r="C171" s="19" t="s">
        <v>205</v>
      </c>
      <c r="D171" s="48" t="s">
        <v>556</v>
      </c>
    </row>
    <row r="172" spans="1:4" hidden="1">
      <c r="A172" s="23" t="s">
        <v>466</v>
      </c>
      <c r="B172" s="23" t="s">
        <v>557</v>
      </c>
      <c r="C172" s="19" t="s">
        <v>205</v>
      </c>
      <c r="D172" s="48" t="s">
        <v>558</v>
      </c>
    </row>
    <row r="173" spans="1:4" hidden="1">
      <c r="A173" s="23" t="s">
        <v>466</v>
      </c>
      <c r="B173" s="23" t="s">
        <v>559</v>
      </c>
      <c r="C173" s="19" t="s">
        <v>205</v>
      </c>
      <c r="D173" s="48" t="s">
        <v>560</v>
      </c>
    </row>
    <row r="174" spans="1:4" hidden="1">
      <c r="A174" s="23" t="s">
        <v>466</v>
      </c>
      <c r="B174" s="23" t="s">
        <v>561</v>
      </c>
      <c r="C174" s="19" t="s">
        <v>205</v>
      </c>
      <c r="D174" s="48" t="s">
        <v>562</v>
      </c>
    </row>
    <row r="175" spans="1:4" hidden="1">
      <c r="A175" s="23" t="s">
        <v>466</v>
      </c>
      <c r="B175" s="23" t="s">
        <v>563</v>
      </c>
      <c r="C175" s="19" t="s">
        <v>205</v>
      </c>
      <c r="D175" s="48" t="s">
        <v>564</v>
      </c>
    </row>
    <row r="176" spans="1:4" hidden="1">
      <c r="A176" s="23" t="s">
        <v>466</v>
      </c>
      <c r="B176" s="23" t="s">
        <v>565</v>
      </c>
      <c r="C176" s="19" t="s">
        <v>205</v>
      </c>
      <c r="D176" s="48" t="s">
        <v>566</v>
      </c>
    </row>
    <row r="177" spans="1:4" hidden="1">
      <c r="A177" s="23" t="s">
        <v>466</v>
      </c>
      <c r="B177" s="23" t="s">
        <v>567</v>
      </c>
      <c r="C177" s="19" t="s">
        <v>205</v>
      </c>
      <c r="D177" s="48" t="s">
        <v>568</v>
      </c>
    </row>
    <row r="178" spans="1:4" hidden="1">
      <c r="A178" s="23" t="s">
        <v>466</v>
      </c>
      <c r="B178" s="23" t="s">
        <v>569</v>
      </c>
      <c r="C178" s="19" t="s">
        <v>205</v>
      </c>
      <c r="D178" s="48" t="s">
        <v>570</v>
      </c>
    </row>
    <row r="179" spans="1:4" hidden="1">
      <c r="A179" s="23" t="s">
        <v>466</v>
      </c>
      <c r="B179" s="23" t="s">
        <v>571</v>
      </c>
      <c r="C179" s="19" t="s">
        <v>205</v>
      </c>
      <c r="D179" s="48" t="s">
        <v>572</v>
      </c>
    </row>
    <row r="180" spans="1:4" hidden="1">
      <c r="A180" s="23" t="s">
        <v>466</v>
      </c>
      <c r="B180" s="23" t="s">
        <v>573</v>
      </c>
      <c r="C180" s="19" t="s">
        <v>205</v>
      </c>
      <c r="D180" s="48" t="s">
        <v>574</v>
      </c>
    </row>
    <row r="181" spans="1:4" hidden="1">
      <c r="A181" s="23" t="s">
        <v>466</v>
      </c>
      <c r="B181" s="23" t="s">
        <v>575</v>
      </c>
      <c r="C181" s="19" t="s">
        <v>205</v>
      </c>
      <c r="D181" s="48" t="s">
        <v>576</v>
      </c>
    </row>
    <row r="182" spans="1:4" hidden="1">
      <c r="A182" s="23" t="s">
        <v>466</v>
      </c>
      <c r="B182" s="23" t="s">
        <v>577</v>
      </c>
      <c r="C182" s="19" t="s">
        <v>205</v>
      </c>
      <c r="D182" s="48" t="s">
        <v>578</v>
      </c>
    </row>
    <row r="183" spans="1:4" hidden="1">
      <c r="A183" s="23" t="s">
        <v>466</v>
      </c>
      <c r="B183" s="23" t="s">
        <v>579</v>
      </c>
      <c r="C183" s="19" t="s">
        <v>205</v>
      </c>
      <c r="D183" s="48" t="s">
        <v>580</v>
      </c>
    </row>
    <row r="184" spans="1:4" hidden="1">
      <c r="A184" s="23" t="s">
        <v>466</v>
      </c>
      <c r="B184" s="23" t="s">
        <v>581</v>
      </c>
      <c r="C184" s="19" t="s">
        <v>205</v>
      </c>
      <c r="D184" s="48" t="s">
        <v>582</v>
      </c>
    </row>
    <row r="185" spans="1:4" hidden="1">
      <c r="A185" s="23" t="s">
        <v>466</v>
      </c>
      <c r="B185" s="23" t="s">
        <v>583</v>
      </c>
      <c r="C185" s="19" t="s">
        <v>205</v>
      </c>
      <c r="D185" s="48" t="s">
        <v>584</v>
      </c>
    </row>
    <row r="186" spans="1:4" hidden="1">
      <c r="A186" s="23" t="s">
        <v>466</v>
      </c>
      <c r="B186" s="23" t="s">
        <v>585</v>
      </c>
      <c r="C186" s="19" t="s">
        <v>205</v>
      </c>
      <c r="D186" s="48" t="s">
        <v>586</v>
      </c>
    </row>
    <row r="187" spans="1:4" hidden="1">
      <c r="A187" s="23" t="s">
        <v>466</v>
      </c>
      <c r="B187" s="23" t="s">
        <v>587</v>
      </c>
      <c r="C187" s="19" t="s">
        <v>205</v>
      </c>
      <c r="D187" s="48" t="s">
        <v>588</v>
      </c>
    </row>
    <row r="188" spans="1:4" hidden="1">
      <c r="A188" s="23" t="s">
        <v>466</v>
      </c>
      <c r="B188" s="23" t="s">
        <v>589</v>
      </c>
      <c r="C188" s="19" t="s">
        <v>205</v>
      </c>
      <c r="D188" s="48" t="s">
        <v>590</v>
      </c>
    </row>
    <row r="189" spans="1:4" hidden="1">
      <c r="A189" s="23" t="s">
        <v>466</v>
      </c>
      <c r="B189" s="23" t="s">
        <v>591</v>
      </c>
      <c r="C189" s="19" t="s">
        <v>205</v>
      </c>
      <c r="D189" s="48" t="s">
        <v>592</v>
      </c>
    </row>
    <row r="190" spans="1:4" hidden="1">
      <c r="A190" s="23" t="s">
        <v>466</v>
      </c>
      <c r="B190" s="23" t="s">
        <v>593</v>
      </c>
      <c r="C190" s="19" t="s">
        <v>205</v>
      </c>
      <c r="D190" s="48" t="s">
        <v>594</v>
      </c>
    </row>
    <row r="191" spans="1:4" hidden="1">
      <c r="A191" s="23" t="s">
        <v>466</v>
      </c>
      <c r="B191" s="23" t="s">
        <v>595</v>
      </c>
      <c r="C191" s="19" t="s">
        <v>205</v>
      </c>
      <c r="D191" s="48" t="s">
        <v>596</v>
      </c>
    </row>
    <row r="192" spans="1:4" hidden="1">
      <c r="A192" s="23" t="s">
        <v>466</v>
      </c>
      <c r="B192" s="23" t="s">
        <v>597</v>
      </c>
      <c r="C192" s="19" t="s">
        <v>205</v>
      </c>
      <c r="D192" s="48" t="s">
        <v>598</v>
      </c>
    </row>
    <row r="193" spans="1:4" hidden="1">
      <c r="A193" s="23" t="s">
        <v>466</v>
      </c>
      <c r="B193" s="23" t="s">
        <v>599</v>
      </c>
      <c r="C193" s="19" t="s">
        <v>205</v>
      </c>
      <c r="D193" s="48" t="s">
        <v>600</v>
      </c>
    </row>
    <row r="194" spans="1:4" hidden="1">
      <c r="A194" s="23" t="s">
        <v>466</v>
      </c>
      <c r="B194" s="23" t="s">
        <v>601</v>
      </c>
      <c r="C194" s="19" t="s">
        <v>205</v>
      </c>
      <c r="D194" s="48" t="s">
        <v>602</v>
      </c>
    </row>
    <row r="195" spans="1:4" hidden="1">
      <c r="A195" s="23" t="s">
        <v>466</v>
      </c>
      <c r="B195" s="23" t="s">
        <v>603</v>
      </c>
      <c r="C195" s="19" t="s">
        <v>205</v>
      </c>
      <c r="D195" s="48" t="s">
        <v>604</v>
      </c>
    </row>
    <row r="196" spans="1:4" hidden="1">
      <c r="A196" s="23" t="s">
        <v>466</v>
      </c>
      <c r="B196" s="23" t="s">
        <v>605</v>
      </c>
      <c r="C196" s="19" t="s">
        <v>205</v>
      </c>
      <c r="D196" s="48" t="s">
        <v>606</v>
      </c>
    </row>
    <row r="197" spans="1:4" hidden="1">
      <c r="A197" s="23" t="s">
        <v>466</v>
      </c>
      <c r="B197" s="23" t="s">
        <v>607</v>
      </c>
      <c r="C197" s="19" t="s">
        <v>205</v>
      </c>
      <c r="D197" s="48" t="s">
        <v>608</v>
      </c>
    </row>
    <row r="198" spans="1:4" hidden="1">
      <c r="A198" s="23" t="s">
        <v>466</v>
      </c>
      <c r="B198" s="23" t="s">
        <v>609</v>
      </c>
      <c r="C198" s="19" t="s">
        <v>205</v>
      </c>
      <c r="D198" s="48" t="s">
        <v>610</v>
      </c>
    </row>
    <row r="199" spans="1:4" hidden="1">
      <c r="A199" s="23" t="s">
        <v>466</v>
      </c>
      <c r="B199" s="23" t="s">
        <v>611</v>
      </c>
      <c r="C199" s="19" t="s">
        <v>205</v>
      </c>
      <c r="D199" s="48" t="s">
        <v>612</v>
      </c>
    </row>
    <row r="200" spans="1:4" hidden="1">
      <c r="A200" s="23" t="s">
        <v>466</v>
      </c>
      <c r="B200" s="23" t="s">
        <v>613</v>
      </c>
      <c r="C200" s="19" t="s">
        <v>205</v>
      </c>
      <c r="D200" s="48" t="s">
        <v>614</v>
      </c>
    </row>
    <row r="201" spans="1:4" hidden="1">
      <c r="A201" s="23" t="s">
        <v>466</v>
      </c>
      <c r="B201" s="23" t="s">
        <v>615</v>
      </c>
      <c r="C201" s="19" t="s">
        <v>205</v>
      </c>
      <c r="D201" s="48" t="s">
        <v>616</v>
      </c>
    </row>
    <row r="202" spans="1:4" hidden="1">
      <c r="A202" s="23" t="s">
        <v>466</v>
      </c>
      <c r="B202" s="23" t="s">
        <v>617</v>
      </c>
      <c r="C202" s="19" t="s">
        <v>205</v>
      </c>
      <c r="D202" s="48" t="s">
        <v>618</v>
      </c>
    </row>
    <row r="203" spans="1:4" hidden="1">
      <c r="A203" s="23" t="s">
        <v>466</v>
      </c>
      <c r="B203" s="23" t="s">
        <v>619</v>
      </c>
      <c r="C203" s="19" t="s">
        <v>205</v>
      </c>
      <c r="D203" s="48" t="s">
        <v>620</v>
      </c>
    </row>
    <row r="204" spans="1:4" hidden="1">
      <c r="A204" s="23" t="s">
        <v>466</v>
      </c>
      <c r="B204" s="23" t="s">
        <v>621</v>
      </c>
      <c r="C204" s="19" t="s">
        <v>205</v>
      </c>
      <c r="D204" s="48" t="s">
        <v>622</v>
      </c>
    </row>
    <row r="205" spans="1:4" hidden="1">
      <c r="A205" s="23" t="s">
        <v>466</v>
      </c>
      <c r="B205" s="23" t="s">
        <v>623</v>
      </c>
      <c r="C205" s="19" t="s">
        <v>205</v>
      </c>
      <c r="D205" s="48" t="s">
        <v>624</v>
      </c>
    </row>
    <row r="206" spans="1:4" hidden="1">
      <c r="A206" s="23" t="s">
        <v>466</v>
      </c>
      <c r="B206" s="23" t="s">
        <v>625</v>
      </c>
      <c r="C206" s="19" t="s">
        <v>205</v>
      </c>
      <c r="D206" s="48" t="s">
        <v>626</v>
      </c>
    </row>
    <row r="207" spans="1:4" hidden="1">
      <c r="A207" s="23" t="s">
        <v>466</v>
      </c>
      <c r="B207" s="23" t="s">
        <v>627</v>
      </c>
      <c r="C207" s="19" t="s">
        <v>205</v>
      </c>
      <c r="D207" s="48" t="s">
        <v>628</v>
      </c>
    </row>
    <row r="208" spans="1:4" hidden="1">
      <c r="A208" s="23" t="s">
        <v>466</v>
      </c>
      <c r="B208" s="23" t="s">
        <v>629</v>
      </c>
      <c r="C208" s="19" t="s">
        <v>205</v>
      </c>
      <c r="D208" s="48" t="s">
        <v>630</v>
      </c>
    </row>
    <row r="209" spans="1:4" hidden="1">
      <c r="A209" s="23" t="s">
        <v>466</v>
      </c>
      <c r="B209" s="23" t="s">
        <v>631</v>
      </c>
      <c r="C209" s="19" t="s">
        <v>205</v>
      </c>
      <c r="D209" s="48" t="s">
        <v>632</v>
      </c>
    </row>
    <row r="210" spans="1:4" hidden="1">
      <c r="A210" s="23" t="s">
        <v>466</v>
      </c>
      <c r="B210" s="23" t="s">
        <v>633</v>
      </c>
      <c r="C210" s="19" t="s">
        <v>205</v>
      </c>
      <c r="D210" s="48" t="s">
        <v>634</v>
      </c>
    </row>
    <row r="211" spans="1:4" hidden="1">
      <c r="A211" s="23" t="s">
        <v>466</v>
      </c>
      <c r="B211" s="23" t="s">
        <v>635</v>
      </c>
      <c r="C211" s="19" t="s">
        <v>205</v>
      </c>
      <c r="D211" s="48" t="s">
        <v>636</v>
      </c>
    </row>
    <row r="212" spans="1:4" hidden="1">
      <c r="A212" s="23" t="s">
        <v>466</v>
      </c>
      <c r="B212" s="23" t="s">
        <v>637</v>
      </c>
      <c r="C212" s="19" t="s">
        <v>205</v>
      </c>
      <c r="D212" s="48" t="s">
        <v>638</v>
      </c>
    </row>
    <row r="213" spans="1:4" hidden="1">
      <c r="A213" s="23" t="s">
        <v>466</v>
      </c>
      <c r="B213" s="23" t="s">
        <v>639</v>
      </c>
      <c r="C213" s="19" t="s">
        <v>205</v>
      </c>
      <c r="D213" s="48" t="s">
        <v>640</v>
      </c>
    </row>
    <row r="214" spans="1:4" hidden="1">
      <c r="A214" s="23" t="s">
        <v>466</v>
      </c>
      <c r="B214" s="23" t="s">
        <v>641</v>
      </c>
      <c r="C214" s="19" t="s">
        <v>205</v>
      </c>
      <c r="D214" s="48" t="s">
        <v>642</v>
      </c>
    </row>
    <row r="215" spans="1:4" hidden="1">
      <c r="A215" s="23" t="s">
        <v>466</v>
      </c>
      <c r="B215" s="23" t="s">
        <v>643</v>
      </c>
      <c r="C215" s="19" t="s">
        <v>205</v>
      </c>
      <c r="D215" s="48" t="s">
        <v>644</v>
      </c>
    </row>
    <row r="216" spans="1:4" hidden="1">
      <c r="A216" s="23" t="s">
        <v>466</v>
      </c>
      <c r="B216" s="23" t="s">
        <v>645</v>
      </c>
      <c r="C216" s="19" t="s">
        <v>205</v>
      </c>
      <c r="D216" s="48" t="s">
        <v>646</v>
      </c>
    </row>
    <row r="217" spans="1:4" hidden="1">
      <c r="A217" s="23" t="s">
        <v>466</v>
      </c>
      <c r="B217" s="23" t="s">
        <v>647</v>
      </c>
      <c r="C217" s="19" t="s">
        <v>205</v>
      </c>
      <c r="D217" s="48" t="s">
        <v>648</v>
      </c>
    </row>
    <row r="218" spans="1:4" hidden="1">
      <c r="A218" s="23" t="s">
        <v>466</v>
      </c>
      <c r="B218" s="23" t="s">
        <v>649</v>
      </c>
      <c r="C218" s="19" t="s">
        <v>205</v>
      </c>
      <c r="D218" s="48" t="s">
        <v>650</v>
      </c>
    </row>
    <row r="219" spans="1:4" hidden="1">
      <c r="A219" s="23" t="s">
        <v>466</v>
      </c>
      <c r="B219" s="23" t="s">
        <v>651</v>
      </c>
      <c r="C219" s="19" t="s">
        <v>205</v>
      </c>
      <c r="D219" s="48" t="s">
        <v>652</v>
      </c>
    </row>
    <row r="220" spans="1:4" hidden="1">
      <c r="A220" s="23" t="s">
        <v>466</v>
      </c>
      <c r="B220" s="23" t="s">
        <v>653</v>
      </c>
      <c r="C220" s="19" t="s">
        <v>205</v>
      </c>
      <c r="D220" s="48" t="s">
        <v>654</v>
      </c>
    </row>
    <row r="221" spans="1:4" hidden="1">
      <c r="A221" s="23" t="s">
        <v>466</v>
      </c>
      <c r="B221" s="23" t="s">
        <v>655</v>
      </c>
      <c r="C221" s="19" t="s">
        <v>205</v>
      </c>
      <c r="D221" s="48" t="s">
        <v>656</v>
      </c>
    </row>
    <row r="222" spans="1:4" hidden="1">
      <c r="A222" s="23" t="s">
        <v>466</v>
      </c>
      <c r="B222" s="23" t="s">
        <v>657</v>
      </c>
      <c r="C222" s="19" t="s">
        <v>205</v>
      </c>
      <c r="D222" s="48" t="s">
        <v>658</v>
      </c>
    </row>
    <row r="223" spans="1:4" hidden="1">
      <c r="A223" s="23" t="s">
        <v>466</v>
      </c>
      <c r="B223" s="23" t="s">
        <v>659</v>
      </c>
      <c r="C223" s="19" t="s">
        <v>205</v>
      </c>
      <c r="D223" s="48" t="s">
        <v>660</v>
      </c>
    </row>
    <row r="224" spans="1:4" hidden="1">
      <c r="A224" s="23" t="s">
        <v>466</v>
      </c>
      <c r="B224" s="23" t="s">
        <v>661</v>
      </c>
      <c r="C224" s="19" t="s">
        <v>205</v>
      </c>
      <c r="D224" s="48" t="s">
        <v>662</v>
      </c>
    </row>
    <row r="225" spans="1:4" hidden="1">
      <c r="A225" s="23" t="s">
        <v>466</v>
      </c>
      <c r="B225" s="23" t="s">
        <v>663</v>
      </c>
      <c r="C225" s="19" t="s">
        <v>205</v>
      </c>
      <c r="D225" s="48" t="s">
        <v>664</v>
      </c>
    </row>
    <row r="226" spans="1:4" hidden="1">
      <c r="A226" s="23" t="s">
        <v>466</v>
      </c>
      <c r="B226" s="23" t="s">
        <v>665</v>
      </c>
      <c r="C226" s="19" t="s">
        <v>205</v>
      </c>
      <c r="D226" s="48" t="s">
        <v>666</v>
      </c>
    </row>
    <row r="227" spans="1:4" hidden="1">
      <c r="A227" s="23" t="s">
        <v>466</v>
      </c>
      <c r="B227" s="23" t="s">
        <v>667</v>
      </c>
      <c r="C227" s="19" t="s">
        <v>205</v>
      </c>
      <c r="D227" s="48" t="s">
        <v>668</v>
      </c>
    </row>
    <row r="228" spans="1:4" hidden="1">
      <c r="A228" s="23" t="s">
        <v>466</v>
      </c>
      <c r="B228" s="23" t="s">
        <v>669</v>
      </c>
      <c r="C228" s="19" t="s">
        <v>205</v>
      </c>
      <c r="D228" s="48" t="s">
        <v>670</v>
      </c>
    </row>
    <row r="229" spans="1:4" hidden="1">
      <c r="A229" s="23" t="s">
        <v>466</v>
      </c>
      <c r="B229" s="23" t="s">
        <v>671</v>
      </c>
      <c r="C229" s="19" t="s">
        <v>205</v>
      </c>
      <c r="D229" s="48" t="s">
        <v>672</v>
      </c>
    </row>
    <row r="230" spans="1:4" hidden="1">
      <c r="A230" s="23" t="s">
        <v>466</v>
      </c>
      <c r="B230" s="23" t="s">
        <v>673</v>
      </c>
      <c r="C230" s="19" t="s">
        <v>205</v>
      </c>
      <c r="D230" s="48" t="s">
        <v>674</v>
      </c>
    </row>
    <row r="231" spans="1:4" hidden="1">
      <c r="A231" s="23" t="s">
        <v>466</v>
      </c>
      <c r="B231" s="23" t="s">
        <v>675</v>
      </c>
      <c r="C231" s="19" t="s">
        <v>205</v>
      </c>
      <c r="D231" s="48" t="s">
        <v>676</v>
      </c>
    </row>
    <row r="232" spans="1:4" hidden="1">
      <c r="A232" s="23" t="s">
        <v>466</v>
      </c>
      <c r="B232" s="23" t="s">
        <v>677</v>
      </c>
      <c r="C232" s="19" t="s">
        <v>205</v>
      </c>
      <c r="D232" s="48" t="s">
        <v>678</v>
      </c>
    </row>
    <row r="233" spans="1:4" hidden="1">
      <c r="A233" s="23" t="s">
        <v>466</v>
      </c>
      <c r="B233" s="23" t="s">
        <v>679</v>
      </c>
      <c r="C233" s="19" t="s">
        <v>205</v>
      </c>
      <c r="D233" s="48" t="s">
        <v>680</v>
      </c>
    </row>
    <row r="234" spans="1:4" hidden="1">
      <c r="A234" s="23" t="s">
        <v>466</v>
      </c>
      <c r="B234" s="23" t="s">
        <v>681</v>
      </c>
      <c r="C234" s="19" t="s">
        <v>205</v>
      </c>
      <c r="D234" s="48" t="s">
        <v>682</v>
      </c>
    </row>
    <row r="235" spans="1:4" hidden="1">
      <c r="A235" s="23" t="s">
        <v>466</v>
      </c>
      <c r="B235" s="23" t="s">
        <v>683</v>
      </c>
      <c r="C235" s="19" t="s">
        <v>205</v>
      </c>
      <c r="D235" s="48" t="s">
        <v>684</v>
      </c>
    </row>
    <row r="236" spans="1:4" hidden="1">
      <c r="A236" s="23" t="s">
        <v>466</v>
      </c>
      <c r="B236" s="23" t="s">
        <v>685</v>
      </c>
      <c r="C236" s="19" t="s">
        <v>205</v>
      </c>
      <c r="D236" s="48" t="s">
        <v>686</v>
      </c>
    </row>
    <row r="237" spans="1:4" hidden="1">
      <c r="A237" s="23" t="s">
        <v>466</v>
      </c>
      <c r="B237" s="23" t="s">
        <v>687</v>
      </c>
      <c r="C237" s="19" t="s">
        <v>205</v>
      </c>
      <c r="D237" s="48" t="s">
        <v>688</v>
      </c>
    </row>
    <row r="238" spans="1:4" hidden="1">
      <c r="A238" s="23" t="s">
        <v>466</v>
      </c>
      <c r="B238" s="23" t="s">
        <v>689</v>
      </c>
      <c r="C238" s="19" t="s">
        <v>205</v>
      </c>
      <c r="D238" s="48" t="s">
        <v>690</v>
      </c>
    </row>
    <row r="239" spans="1:4" hidden="1">
      <c r="A239" s="23" t="s">
        <v>466</v>
      </c>
      <c r="B239" s="23" t="s">
        <v>691</v>
      </c>
      <c r="C239" s="19" t="s">
        <v>205</v>
      </c>
      <c r="D239" s="48" t="s">
        <v>692</v>
      </c>
    </row>
    <row r="240" spans="1:4" hidden="1">
      <c r="A240" s="23" t="s">
        <v>466</v>
      </c>
      <c r="B240" s="23" t="s">
        <v>693</v>
      </c>
      <c r="C240" s="19" t="s">
        <v>205</v>
      </c>
      <c r="D240" s="48" t="s">
        <v>694</v>
      </c>
    </row>
    <row r="241" spans="1:4" hidden="1">
      <c r="A241" s="23" t="s">
        <v>466</v>
      </c>
      <c r="B241" s="23" t="s">
        <v>695</v>
      </c>
      <c r="C241" s="19" t="s">
        <v>205</v>
      </c>
      <c r="D241" s="48" t="s">
        <v>696</v>
      </c>
    </row>
    <row r="242" spans="1:4" hidden="1">
      <c r="A242" s="23" t="s">
        <v>466</v>
      </c>
      <c r="B242" s="23" t="s">
        <v>697</v>
      </c>
      <c r="C242" s="19" t="s">
        <v>205</v>
      </c>
      <c r="D242" s="48" t="s">
        <v>698</v>
      </c>
    </row>
    <row r="243" spans="1:4" hidden="1">
      <c r="A243" s="23" t="s">
        <v>466</v>
      </c>
      <c r="B243" s="23" t="s">
        <v>699</v>
      </c>
      <c r="C243" s="19" t="s">
        <v>205</v>
      </c>
      <c r="D243" s="48" t="s">
        <v>700</v>
      </c>
    </row>
    <row r="244" spans="1:4" hidden="1">
      <c r="A244" s="23" t="s">
        <v>466</v>
      </c>
      <c r="B244" s="23" t="s">
        <v>701</v>
      </c>
      <c r="C244" s="19" t="s">
        <v>205</v>
      </c>
      <c r="D244" s="48" t="s">
        <v>702</v>
      </c>
    </row>
    <row r="245" spans="1:4" hidden="1">
      <c r="A245" s="23" t="s">
        <v>466</v>
      </c>
      <c r="B245" s="23" t="s">
        <v>703</v>
      </c>
      <c r="C245" s="19" t="s">
        <v>205</v>
      </c>
      <c r="D245" s="48" t="s">
        <v>704</v>
      </c>
    </row>
    <row r="246" spans="1:4" hidden="1">
      <c r="A246" s="23" t="s">
        <v>466</v>
      </c>
      <c r="B246" s="23" t="s">
        <v>705</v>
      </c>
      <c r="C246" s="19" t="s">
        <v>205</v>
      </c>
      <c r="D246" s="48" t="s">
        <v>706</v>
      </c>
    </row>
    <row r="247" spans="1:4" hidden="1">
      <c r="A247" s="23" t="s">
        <v>466</v>
      </c>
      <c r="B247" s="23" t="s">
        <v>707</v>
      </c>
      <c r="C247" s="19" t="s">
        <v>205</v>
      </c>
      <c r="D247" s="48" t="s">
        <v>708</v>
      </c>
    </row>
    <row r="248" spans="1:4" hidden="1">
      <c r="A248" s="23" t="s">
        <v>466</v>
      </c>
      <c r="B248" s="23" t="s">
        <v>709</v>
      </c>
      <c r="C248" s="19" t="s">
        <v>205</v>
      </c>
      <c r="D248" s="48" t="s">
        <v>710</v>
      </c>
    </row>
    <row r="249" spans="1:4" hidden="1">
      <c r="A249" s="23" t="s">
        <v>466</v>
      </c>
      <c r="B249" s="23" t="s">
        <v>711</v>
      </c>
      <c r="C249" s="19" t="s">
        <v>205</v>
      </c>
      <c r="D249" s="48" t="s">
        <v>712</v>
      </c>
    </row>
    <row r="250" spans="1:4" hidden="1">
      <c r="A250" s="23" t="s">
        <v>466</v>
      </c>
      <c r="B250" s="23" t="s">
        <v>713</v>
      </c>
      <c r="C250" s="19" t="s">
        <v>205</v>
      </c>
      <c r="D250" s="48" t="s">
        <v>714</v>
      </c>
    </row>
    <row r="251" spans="1:4" hidden="1">
      <c r="A251" s="23" t="s">
        <v>466</v>
      </c>
      <c r="B251" s="23" t="s">
        <v>715</v>
      </c>
      <c r="C251" s="19" t="s">
        <v>205</v>
      </c>
      <c r="D251" s="48" t="s">
        <v>716</v>
      </c>
    </row>
    <row r="252" spans="1:4" hidden="1">
      <c r="A252" s="23" t="s">
        <v>466</v>
      </c>
      <c r="B252" s="23" t="s">
        <v>717</v>
      </c>
      <c r="C252" s="19" t="s">
        <v>205</v>
      </c>
      <c r="D252" s="48" t="s">
        <v>718</v>
      </c>
    </row>
    <row r="253" spans="1:4" hidden="1">
      <c r="A253" s="23" t="s">
        <v>466</v>
      </c>
      <c r="B253" s="23" t="s">
        <v>719</v>
      </c>
      <c r="C253" s="19" t="s">
        <v>205</v>
      </c>
      <c r="D253" s="48" t="s">
        <v>720</v>
      </c>
    </row>
    <row r="254" spans="1:4" hidden="1">
      <c r="A254" s="23" t="s">
        <v>466</v>
      </c>
      <c r="B254" s="23" t="s">
        <v>721</v>
      </c>
      <c r="C254" s="19" t="s">
        <v>205</v>
      </c>
      <c r="D254" s="48" t="s">
        <v>722</v>
      </c>
    </row>
    <row r="255" spans="1:4" hidden="1">
      <c r="A255" s="23" t="s">
        <v>466</v>
      </c>
      <c r="B255" s="23" t="s">
        <v>723</v>
      </c>
      <c r="C255" s="19" t="s">
        <v>205</v>
      </c>
      <c r="D255" s="48" t="s">
        <v>724</v>
      </c>
    </row>
    <row r="256" spans="1:4" hidden="1">
      <c r="A256" s="23" t="s">
        <v>466</v>
      </c>
      <c r="B256" s="23" t="s">
        <v>725</v>
      </c>
      <c r="C256" s="19" t="s">
        <v>205</v>
      </c>
      <c r="D256" s="48" t="s">
        <v>726</v>
      </c>
    </row>
    <row r="257" spans="1:4" hidden="1">
      <c r="A257" s="23" t="s">
        <v>466</v>
      </c>
      <c r="B257" s="23" t="s">
        <v>727</v>
      </c>
      <c r="C257" s="19" t="s">
        <v>205</v>
      </c>
      <c r="D257" s="48" t="s">
        <v>728</v>
      </c>
    </row>
    <row r="258" spans="1:4" hidden="1">
      <c r="A258" s="23" t="s">
        <v>466</v>
      </c>
      <c r="B258" s="23" t="s">
        <v>729</v>
      </c>
      <c r="C258" s="19" t="s">
        <v>205</v>
      </c>
      <c r="D258" s="48" t="s">
        <v>730</v>
      </c>
    </row>
    <row r="259" spans="1:4" hidden="1">
      <c r="A259" s="23" t="s">
        <v>466</v>
      </c>
      <c r="B259" s="23" t="s">
        <v>731</v>
      </c>
      <c r="C259" s="19" t="s">
        <v>205</v>
      </c>
      <c r="D259" s="48" t="s">
        <v>732</v>
      </c>
    </row>
    <row r="260" spans="1:4" hidden="1">
      <c r="A260" s="23" t="s">
        <v>466</v>
      </c>
      <c r="B260" s="23" t="s">
        <v>733</v>
      </c>
      <c r="C260" s="19" t="s">
        <v>205</v>
      </c>
      <c r="D260" s="48" t="s">
        <v>734</v>
      </c>
    </row>
    <row r="261" spans="1:4" hidden="1">
      <c r="A261" s="23" t="s">
        <v>466</v>
      </c>
      <c r="B261" s="23" t="s">
        <v>735</v>
      </c>
      <c r="C261" s="19" t="s">
        <v>205</v>
      </c>
      <c r="D261" s="48" t="s">
        <v>736</v>
      </c>
    </row>
    <row r="262" spans="1:4" hidden="1">
      <c r="A262" s="23" t="s">
        <v>466</v>
      </c>
      <c r="B262" s="23" t="s">
        <v>737</v>
      </c>
      <c r="C262" s="19" t="s">
        <v>205</v>
      </c>
      <c r="D262" s="48" t="s">
        <v>738</v>
      </c>
    </row>
    <row r="263" spans="1:4" hidden="1">
      <c r="A263" s="23" t="s">
        <v>466</v>
      </c>
      <c r="B263" s="23" t="s">
        <v>739</v>
      </c>
      <c r="C263" s="19" t="s">
        <v>205</v>
      </c>
      <c r="D263" s="48" t="s">
        <v>740</v>
      </c>
    </row>
    <row r="264" spans="1:4" hidden="1">
      <c r="A264" s="23" t="s">
        <v>466</v>
      </c>
      <c r="B264" s="23" t="s">
        <v>741</v>
      </c>
      <c r="C264" s="19" t="s">
        <v>205</v>
      </c>
      <c r="D264" s="48" t="s">
        <v>742</v>
      </c>
    </row>
    <row r="265" spans="1:4" hidden="1">
      <c r="A265" s="23" t="s">
        <v>466</v>
      </c>
      <c r="B265" s="23" t="s">
        <v>743</v>
      </c>
      <c r="C265" s="19" t="s">
        <v>205</v>
      </c>
      <c r="D265" s="48" t="s">
        <v>744</v>
      </c>
    </row>
    <row r="266" spans="1:4" hidden="1">
      <c r="A266" s="23" t="s">
        <v>466</v>
      </c>
      <c r="B266" s="23" t="s">
        <v>745</v>
      </c>
      <c r="C266" s="19" t="s">
        <v>205</v>
      </c>
      <c r="D266" s="48" t="s">
        <v>746</v>
      </c>
    </row>
    <row r="267" spans="1:4" hidden="1">
      <c r="A267" s="23" t="s">
        <v>466</v>
      </c>
      <c r="B267" s="23" t="s">
        <v>747</v>
      </c>
      <c r="C267" s="19" t="s">
        <v>205</v>
      </c>
      <c r="D267" s="48" t="s">
        <v>748</v>
      </c>
    </row>
    <row r="268" spans="1:4" hidden="1">
      <c r="A268" s="23" t="s">
        <v>466</v>
      </c>
      <c r="B268" s="23" t="s">
        <v>749</v>
      </c>
      <c r="C268" s="19" t="s">
        <v>205</v>
      </c>
      <c r="D268" s="48" t="s">
        <v>750</v>
      </c>
    </row>
    <row r="269" spans="1:4" hidden="1">
      <c r="A269" s="23" t="s">
        <v>466</v>
      </c>
      <c r="B269" s="23" t="s">
        <v>751</v>
      </c>
      <c r="C269" s="19" t="s">
        <v>205</v>
      </c>
      <c r="D269" s="48" t="s">
        <v>752</v>
      </c>
    </row>
    <row r="270" spans="1:4" hidden="1">
      <c r="A270" s="23" t="s">
        <v>466</v>
      </c>
      <c r="B270" s="23" t="s">
        <v>753</v>
      </c>
      <c r="C270" s="19" t="s">
        <v>205</v>
      </c>
      <c r="D270" s="48" t="s">
        <v>754</v>
      </c>
    </row>
    <row r="271" spans="1:4" hidden="1">
      <c r="A271" s="23" t="s">
        <v>466</v>
      </c>
      <c r="B271" s="23" t="s">
        <v>755</v>
      </c>
      <c r="C271" s="19" t="s">
        <v>205</v>
      </c>
      <c r="D271" s="48" t="s">
        <v>756</v>
      </c>
    </row>
    <row r="272" spans="1:4" hidden="1">
      <c r="A272" s="23" t="s">
        <v>466</v>
      </c>
      <c r="B272" s="23" t="s">
        <v>757</v>
      </c>
      <c r="C272" s="19" t="s">
        <v>205</v>
      </c>
      <c r="D272" s="48" t="s">
        <v>758</v>
      </c>
    </row>
    <row r="273" spans="1:4" hidden="1">
      <c r="A273" s="23" t="s">
        <v>466</v>
      </c>
      <c r="B273" s="23" t="s">
        <v>759</v>
      </c>
      <c r="C273" s="19" t="s">
        <v>205</v>
      </c>
      <c r="D273" s="48" t="s">
        <v>760</v>
      </c>
    </row>
    <row r="274" spans="1:4" hidden="1">
      <c r="A274" s="23" t="s">
        <v>466</v>
      </c>
      <c r="B274" s="23" t="s">
        <v>761</v>
      </c>
      <c r="C274" s="19" t="s">
        <v>205</v>
      </c>
      <c r="D274" s="48" t="s">
        <v>762</v>
      </c>
    </row>
    <row r="275" spans="1:4" hidden="1">
      <c r="A275" s="23" t="s">
        <v>466</v>
      </c>
      <c r="B275" s="23" t="s">
        <v>763</v>
      </c>
      <c r="C275" s="19" t="s">
        <v>205</v>
      </c>
      <c r="D275" s="48" t="s">
        <v>764</v>
      </c>
    </row>
    <row r="276" spans="1:4" hidden="1">
      <c r="A276" s="23" t="s">
        <v>466</v>
      </c>
      <c r="B276" s="23" t="s">
        <v>765</v>
      </c>
      <c r="C276" s="19" t="s">
        <v>205</v>
      </c>
      <c r="D276" s="48" t="s">
        <v>766</v>
      </c>
    </row>
    <row r="277" spans="1:4" hidden="1">
      <c r="A277" s="23" t="s">
        <v>466</v>
      </c>
      <c r="B277" s="23" t="s">
        <v>767</v>
      </c>
      <c r="C277" s="19" t="s">
        <v>205</v>
      </c>
      <c r="D277" s="48" t="s">
        <v>768</v>
      </c>
    </row>
    <row r="278" spans="1:4" hidden="1">
      <c r="A278" s="23" t="s">
        <v>466</v>
      </c>
      <c r="B278" s="23" t="s">
        <v>769</v>
      </c>
      <c r="C278" s="19" t="s">
        <v>205</v>
      </c>
      <c r="D278" s="48" t="s">
        <v>770</v>
      </c>
    </row>
    <row r="279" spans="1:4" hidden="1">
      <c r="A279" s="23" t="s">
        <v>466</v>
      </c>
      <c r="B279" s="23" t="s">
        <v>771</v>
      </c>
      <c r="C279" s="19" t="s">
        <v>205</v>
      </c>
      <c r="D279" s="48" t="s">
        <v>772</v>
      </c>
    </row>
    <row r="280" spans="1:4" hidden="1">
      <c r="A280" s="23" t="s">
        <v>466</v>
      </c>
      <c r="B280" s="23" t="s">
        <v>773</v>
      </c>
      <c r="C280" s="19" t="s">
        <v>205</v>
      </c>
      <c r="D280" s="48" t="s">
        <v>774</v>
      </c>
    </row>
    <row r="281" spans="1:4" hidden="1">
      <c r="A281" s="23" t="s">
        <v>466</v>
      </c>
      <c r="B281" s="23" t="s">
        <v>775</v>
      </c>
      <c r="C281" s="19" t="s">
        <v>205</v>
      </c>
      <c r="D281" s="48" t="s">
        <v>776</v>
      </c>
    </row>
    <row r="282" spans="1:4" hidden="1">
      <c r="A282" s="23" t="s">
        <v>466</v>
      </c>
      <c r="B282" s="23" t="s">
        <v>777</v>
      </c>
      <c r="C282" s="19" t="s">
        <v>205</v>
      </c>
      <c r="D282" s="48" t="s">
        <v>778</v>
      </c>
    </row>
    <row r="283" spans="1:4" hidden="1">
      <c r="A283" s="23" t="s">
        <v>466</v>
      </c>
      <c r="B283" s="23" t="s">
        <v>779</v>
      </c>
      <c r="C283" s="19" t="s">
        <v>205</v>
      </c>
      <c r="D283" s="48" t="s">
        <v>780</v>
      </c>
    </row>
    <row r="284" spans="1:4" hidden="1">
      <c r="A284" s="23" t="s">
        <v>466</v>
      </c>
      <c r="B284" s="23" t="s">
        <v>781</v>
      </c>
      <c r="C284" s="19" t="s">
        <v>205</v>
      </c>
      <c r="D284" s="48" t="s">
        <v>782</v>
      </c>
    </row>
    <row r="285" spans="1:4" hidden="1">
      <c r="A285" s="23" t="s">
        <v>466</v>
      </c>
      <c r="B285" s="23" t="s">
        <v>783</v>
      </c>
      <c r="C285" s="19" t="s">
        <v>205</v>
      </c>
      <c r="D285" s="48" t="s">
        <v>784</v>
      </c>
    </row>
    <row r="286" spans="1:4" hidden="1">
      <c r="A286" s="23" t="s">
        <v>466</v>
      </c>
      <c r="B286" s="23" t="s">
        <v>785</v>
      </c>
      <c r="C286" s="19" t="s">
        <v>205</v>
      </c>
      <c r="D286" s="48" t="s">
        <v>786</v>
      </c>
    </row>
    <row r="287" spans="1:4" hidden="1">
      <c r="A287" s="23" t="s">
        <v>466</v>
      </c>
      <c r="B287" s="23" t="s">
        <v>787</v>
      </c>
      <c r="C287" s="19" t="s">
        <v>205</v>
      </c>
      <c r="D287" s="48" t="s">
        <v>788</v>
      </c>
    </row>
    <row r="288" spans="1:4" hidden="1">
      <c r="A288" s="23" t="s">
        <v>466</v>
      </c>
      <c r="B288" s="23" t="s">
        <v>789</v>
      </c>
      <c r="C288" s="19" t="s">
        <v>205</v>
      </c>
      <c r="D288" s="48" t="s">
        <v>790</v>
      </c>
    </row>
    <row r="289" spans="1:4" hidden="1">
      <c r="A289" s="23" t="s">
        <v>466</v>
      </c>
      <c r="B289" s="23" t="s">
        <v>791</v>
      </c>
      <c r="C289" s="19" t="s">
        <v>205</v>
      </c>
      <c r="D289" s="48" t="s">
        <v>792</v>
      </c>
    </row>
    <row r="290" spans="1:4" hidden="1">
      <c r="A290" s="23" t="s">
        <v>466</v>
      </c>
      <c r="B290" s="23" t="s">
        <v>793</v>
      </c>
      <c r="C290" s="19" t="s">
        <v>205</v>
      </c>
      <c r="D290" s="48" t="s">
        <v>794</v>
      </c>
    </row>
    <row r="291" spans="1:4" hidden="1">
      <c r="A291" s="23" t="s">
        <v>466</v>
      </c>
      <c r="B291" s="23" t="s">
        <v>795</v>
      </c>
      <c r="C291" s="19" t="s">
        <v>205</v>
      </c>
      <c r="D291" s="48" t="s">
        <v>796</v>
      </c>
    </row>
    <row r="292" spans="1:4" hidden="1">
      <c r="A292" s="23" t="s">
        <v>466</v>
      </c>
      <c r="B292" s="23" t="s">
        <v>797</v>
      </c>
      <c r="C292" s="19" t="s">
        <v>205</v>
      </c>
      <c r="D292" s="48" t="s">
        <v>798</v>
      </c>
    </row>
    <row r="293" spans="1:4" hidden="1">
      <c r="A293" s="23" t="s">
        <v>466</v>
      </c>
      <c r="B293" s="23" t="s">
        <v>799</v>
      </c>
      <c r="C293" s="19" t="s">
        <v>205</v>
      </c>
      <c r="D293" s="48" t="s">
        <v>800</v>
      </c>
    </row>
    <row r="294" spans="1:4" hidden="1">
      <c r="A294" s="23" t="s">
        <v>466</v>
      </c>
      <c r="B294" s="23" t="s">
        <v>801</v>
      </c>
      <c r="C294" s="19" t="s">
        <v>205</v>
      </c>
      <c r="D294" s="48" t="s">
        <v>802</v>
      </c>
    </row>
    <row r="295" spans="1:4" hidden="1">
      <c r="A295" s="23" t="s">
        <v>466</v>
      </c>
      <c r="B295" s="23" t="s">
        <v>803</v>
      </c>
      <c r="C295" s="19" t="s">
        <v>205</v>
      </c>
      <c r="D295" s="48" t="s">
        <v>804</v>
      </c>
    </row>
    <row r="296" spans="1:4" hidden="1">
      <c r="A296" s="23" t="s">
        <v>466</v>
      </c>
      <c r="B296" s="23" t="s">
        <v>805</v>
      </c>
      <c r="C296" s="19" t="s">
        <v>205</v>
      </c>
      <c r="D296" s="48" t="s">
        <v>806</v>
      </c>
    </row>
    <row r="297" spans="1:4" hidden="1">
      <c r="A297" s="23" t="s">
        <v>466</v>
      </c>
      <c r="B297" s="23" t="s">
        <v>807</v>
      </c>
      <c r="C297" s="19" t="s">
        <v>205</v>
      </c>
      <c r="D297" s="48" t="s">
        <v>808</v>
      </c>
    </row>
    <row r="298" spans="1:4" hidden="1">
      <c r="A298" s="23" t="s">
        <v>466</v>
      </c>
      <c r="B298" s="23" t="s">
        <v>809</v>
      </c>
      <c r="C298" s="19" t="s">
        <v>205</v>
      </c>
      <c r="D298" s="48" t="s">
        <v>810</v>
      </c>
    </row>
    <row r="299" spans="1:4" hidden="1">
      <c r="A299" s="23" t="s">
        <v>466</v>
      </c>
      <c r="B299" s="23" t="s">
        <v>811</v>
      </c>
      <c r="C299" s="19" t="s">
        <v>205</v>
      </c>
      <c r="D299" s="48" t="s">
        <v>812</v>
      </c>
    </row>
    <row r="300" spans="1:4" hidden="1">
      <c r="A300" s="23" t="s">
        <v>466</v>
      </c>
      <c r="B300" s="23" t="s">
        <v>813</v>
      </c>
      <c r="C300" s="19" t="s">
        <v>205</v>
      </c>
      <c r="D300" s="48" t="s">
        <v>814</v>
      </c>
    </row>
    <row r="301" spans="1:4" hidden="1">
      <c r="A301" s="23" t="s">
        <v>466</v>
      </c>
      <c r="B301" s="23" t="s">
        <v>815</v>
      </c>
      <c r="C301" s="19" t="s">
        <v>205</v>
      </c>
      <c r="D301" s="48" t="s">
        <v>816</v>
      </c>
    </row>
    <row r="302" spans="1:4" hidden="1">
      <c r="A302" s="23" t="s">
        <v>466</v>
      </c>
      <c r="B302" s="23" t="s">
        <v>817</v>
      </c>
      <c r="C302" s="19" t="s">
        <v>205</v>
      </c>
      <c r="D302" s="48" t="s">
        <v>818</v>
      </c>
    </row>
    <row r="303" spans="1:4" hidden="1">
      <c r="A303" s="23" t="s">
        <v>466</v>
      </c>
      <c r="B303" s="23" t="s">
        <v>819</v>
      </c>
      <c r="C303" s="19" t="s">
        <v>205</v>
      </c>
      <c r="D303" s="48" t="s">
        <v>820</v>
      </c>
    </row>
    <row r="304" spans="1:4" hidden="1">
      <c r="A304" s="23" t="s">
        <v>466</v>
      </c>
      <c r="B304" s="23" t="s">
        <v>821</v>
      </c>
      <c r="C304" s="19" t="s">
        <v>205</v>
      </c>
      <c r="D304" s="48" t="s">
        <v>822</v>
      </c>
    </row>
    <row r="305" spans="1:4" hidden="1">
      <c r="A305" s="23" t="s">
        <v>466</v>
      </c>
      <c r="B305" s="23" t="s">
        <v>823</v>
      </c>
      <c r="C305" s="19" t="s">
        <v>205</v>
      </c>
      <c r="D305" s="48" t="s">
        <v>824</v>
      </c>
    </row>
    <row r="306" spans="1:4" hidden="1">
      <c r="A306" s="23" t="s">
        <v>466</v>
      </c>
      <c r="B306" s="23" t="s">
        <v>825</v>
      </c>
      <c r="C306" s="19" t="s">
        <v>205</v>
      </c>
      <c r="D306" s="48" t="s">
        <v>826</v>
      </c>
    </row>
    <row r="307" spans="1:4" hidden="1">
      <c r="A307" s="23" t="s">
        <v>466</v>
      </c>
      <c r="B307" s="23" t="s">
        <v>827</v>
      </c>
      <c r="C307" s="19" t="s">
        <v>205</v>
      </c>
      <c r="D307" s="48" t="s">
        <v>828</v>
      </c>
    </row>
    <row r="308" spans="1:4" hidden="1">
      <c r="A308" s="23" t="s">
        <v>466</v>
      </c>
      <c r="B308" s="23" t="s">
        <v>829</v>
      </c>
      <c r="C308" s="19" t="s">
        <v>205</v>
      </c>
      <c r="D308" s="48" t="s">
        <v>830</v>
      </c>
    </row>
    <row r="309" spans="1:4" hidden="1">
      <c r="A309" s="23" t="s">
        <v>466</v>
      </c>
      <c r="B309" s="23" t="s">
        <v>831</v>
      </c>
      <c r="C309" s="19" t="s">
        <v>205</v>
      </c>
      <c r="D309" s="48" t="s">
        <v>832</v>
      </c>
    </row>
    <row r="310" spans="1:4" hidden="1">
      <c r="A310" s="23" t="s">
        <v>466</v>
      </c>
      <c r="B310" s="23" t="s">
        <v>833</v>
      </c>
      <c r="C310" s="19" t="s">
        <v>205</v>
      </c>
      <c r="D310" s="48" t="s">
        <v>834</v>
      </c>
    </row>
    <row r="311" spans="1:4" hidden="1">
      <c r="A311" s="23" t="s">
        <v>466</v>
      </c>
      <c r="B311" s="23" t="s">
        <v>835</v>
      </c>
      <c r="C311" s="19" t="s">
        <v>205</v>
      </c>
      <c r="D311" s="48" t="s">
        <v>836</v>
      </c>
    </row>
    <row r="312" spans="1:4" hidden="1">
      <c r="A312" s="23" t="s">
        <v>466</v>
      </c>
      <c r="B312" s="23" t="s">
        <v>837</v>
      </c>
      <c r="C312" s="19" t="s">
        <v>205</v>
      </c>
      <c r="D312" s="48" t="s">
        <v>838</v>
      </c>
    </row>
    <row r="313" spans="1:4" hidden="1">
      <c r="A313" s="23" t="s">
        <v>466</v>
      </c>
      <c r="B313" s="23" t="s">
        <v>839</v>
      </c>
      <c r="C313" s="19" t="s">
        <v>205</v>
      </c>
      <c r="D313" s="48" t="s">
        <v>840</v>
      </c>
    </row>
    <row r="314" spans="1:4" hidden="1">
      <c r="A314" s="23" t="s">
        <v>466</v>
      </c>
      <c r="B314" s="23" t="s">
        <v>841</v>
      </c>
      <c r="C314" s="19" t="s">
        <v>205</v>
      </c>
      <c r="D314" s="48" t="s">
        <v>842</v>
      </c>
    </row>
    <row r="315" spans="1:4" hidden="1">
      <c r="A315" s="23" t="s">
        <v>466</v>
      </c>
      <c r="B315" s="23" t="s">
        <v>843</v>
      </c>
      <c r="C315" s="19" t="s">
        <v>205</v>
      </c>
      <c r="D315" s="48" t="s">
        <v>844</v>
      </c>
    </row>
    <row r="316" spans="1:4" hidden="1">
      <c r="A316" s="23" t="s">
        <v>466</v>
      </c>
      <c r="B316" s="23" t="s">
        <v>845</v>
      </c>
      <c r="C316" s="19" t="s">
        <v>205</v>
      </c>
      <c r="D316" s="48" t="s">
        <v>846</v>
      </c>
    </row>
    <row r="317" spans="1:4" hidden="1">
      <c r="A317" s="23" t="s">
        <v>466</v>
      </c>
      <c r="B317" s="23" t="s">
        <v>847</v>
      </c>
      <c r="C317" s="19" t="s">
        <v>205</v>
      </c>
      <c r="D317" s="48" t="s">
        <v>848</v>
      </c>
    </row>
    <row r="318" spans="1:4" hidden="1">
      <c r="A318" s="23" t="s">
        <v>466</v>
      </c>
      <c r="B318" s="23" t="s">
        <v>849</v>
      </c>
      <c r="C318" s="19" t="s">
        <v>205</v>
      </c>
      <c r="D318" s="48" t="s">
        <v>850</v>
      </c>
    </row>
    <row r="319" spans="1:4" hidden="1">
      <c r="A319" s="23" t="s">
        <v>466</v>
      </c>
      <c r="B319" s="23" t="s">
        <v>851</v>
      </c>
      <c r="C319" s="19" t="s">
        <v>205</v>
      </c>
      <c r="D319" s="48" t="s">
        <v>852</v>
      </c>
    </row>
    <row r="320" spans="1:4" hidden="1">
      <c r="A320" s="23" t="s">
        <v>466</v>
      </c>
      <c r="B320" s="23" t="s">
        <v>853</v>
      </c>
      <c r="C320" s="19" t="s">
        <v>205</v>
      </c>
      <c r="D320" s="48" t="s">
        <v>854</v>
      </c>
    </row>
    <row r="321" spans="1:4" hidden="1">
      <c r="A321" s="23" t="s">
        <v>466</v>
      </c>
      <c r="B321" s="23" t="s">
        <v>855</v>
      </c>
      <c r="C321" s="19" t="s">
        <v>205</v>
      </c>
      <c r="D321" s="48" t="s">
        <v>856</v>
      </c>
    </row>
    <row r="322" spans="1:4" hidden="1">
      <c r="A322" s="23" t="s">
        <v>466</v>
      </c>
      <c r="B322" s="23" t="s">
        <v>857</v>
      </c>
      <c r="C322" s="19" t="s">
        <v>205</v>
      </c>
      <c r="D322" s="48" t="s">
        <v>858</v>
      </c>
    </row>
    <row r="323" spans="1:4" hidden="1">
      <c r="A323" s="23" t="s">
        <v>466</v>
      </c>
      <c r="B323" s="23" t="s">
        <v>859</v>
      </c>
      <c r="C323" s="19" t="s">
        <v>205</v>
      </c>
      <c r="D323" s="48" t="s">
        <v>860</v>
      </c>
    </row>
    <row r="324" spans="1:4" hidden="1">
      <c r="A324" s="23" t="s">
        <v>466</v>
      </c>
      <c r="B324" s="23" t="s">
        <v>861</v>
      </c>
      <c r="C324" s="19" t="s">
        <v>205</v>
      </c>
      <c r="D324" s="48" t="s">
        <v>862</v>
      </c>
    </row>
    <row r="325" spans="1:4" hidden="1">
      <c r="A325" s="23" t="s">
        <v>466</v>
      </c>
      <c r="B325" s="23" t="s">
        <v>863</v>
      </c>
      <c r="C325" s="19" t="s">
        <v>205</v>
      </c>
      <c r="D325" s="48" t="s">
        <v>864</v>
      </c>
    </row>
    <row r="326" spans="1:4" hidden="1">
      <c r="A326" s="23" t="s">
        <v>466</v>
      </c>
      <c r="B326" s="23" t="s">
        <v>865</v>
      </c>
      <c r="C326" s="19" t="s">
        <v>205</v>
      </c>
      <c r="D326" s="48" t="s">
        <v>866</v>
      </c>
    </row>
    <row r="327" spans="1:4" hidden="1">
      <c r="A327" s="23" t="s">
        <v>466</v>
      </c>
      <c r="B327" s="23" t="s">
        <v>867</v>
      </c>
      <c r="C327" s="19" t="s">
        <v>205</v>
      </c>
      <c r="D327" s="48" t="s">
        <v>868</v>
      </c>
    </row>
    <row r="328" spans="1:4" hidden="1">
      <c r="A328" s="23" t="s">
        <v>466</v>
      </c>
      <c r="B328" s="23" t="s">
        <v>869</v>
      </c>
      <c r="C328" s="19" t="s">
        <v>205</v>
      </c>
      <c r="D328" s="48" t="s">
        <v>870</v>
      </c>
    </row>
    <row r="329" spans="1:4" hidden="1">
      <c r="A329" s="23" t="s">
        <v>466</v>
      </c>
      <c r="B329" s="23" t="s">
        <v>871</v>
      </c>
      <c r="C329" s="19" t="s">
        <v>205</v>
      </c>
      <c r="D329" s="48" t="s">
        <v>872</v>
      </c>
    </row>
    <row r="330" spans="1:4" hidden="1">
      <c r="A330" s="23" t="s">
        <v>466</v>
      </c>
      <c r="B330" s="23" t="s">
        <v>873</v>
      </c>
      <c r="C330" s="19" t="s">
        <v>205</v>
      </c>
      <c r="D330" s="48" t="s">
        <v>874</v>
      </c>
    </row>
    <row r="331" spans="1:4" hidden="1">
      <c r="A331" s="23" t="s">
        <v>466</v>
      </c>
      <c r="B331" s="23" t="s">
        <v>875</v>
      </c>
      <c r="C331" s="19" t="s">
        <v>205</v>
      </c>
      <c r="D331" s="48" t="s">
        <v>876</v>
      </c>
    </row>
    <row r="332" spans="1:4" hidden="1">
      <c r="A332" s="23" t="s">
        <v>466</v>
      </c>
      <c r="B332" s="23" t="s">
        <v>877</v>
      </c>
      <c r="C332" s="19" t="s">
        <v>205</v>
      </c>
      <c r="D332" s="48" t="s">
        <v>878</v>
      </c>
    </row>
    <row r="333" spans="1:4" hidden="1">
      <c r="A333" s="23" t="s">
        <v>466</v>
      </c>
      <c r="B333" s="23" t="s">
        <v>879</v>
      </c>
      <c r="C333" s="19" t="s">
        <v>205</v>
      </c>
      <c r="D333" s="48" t="s">
        <v>880</v>
      </c>
    </row>
    <row r="334" spans="1:4" hidden="1">
      <c r="A334" s="23" t="s">
        <v>466</v>
      </c>
      <c r="B334" s="23" t="s">
        <v>881</v>
      </c>
      <c r="C334" s="19" t="s">
        <v>205</v>
      </c>
      <c r="D334" s="48" t="s">
        <v>882</v>
      </c>
    </row>
    <row r="335" spans="1:4" hidden="1">
      <c r="A335" s="23" t="s">
        <v>466</v>
      </c>
      <c r="B335" s="23" t="s">
        <v>883</v>
      </c>
      <c r="C335" s="19" t="s">
        <v>205</v>
      </c>
      <c r="D335" s="48" t="s">
        <v>884</v>
      </c>
    </row>
    <row r="336" spans="1:4" hidden="1">
      <c r="A336" s="23" t="s">
        <v>466</v>
      </c>
      <c r="B336" s="23" t="s">
        <v>885</v>
      </c>
      <c r="C336" s="19" t="s">
        <v>205</v>
      </c>
      <c r="D336" s="48" t="s">
        <v>886</v>
      </c>
    </row>
    <row r="337" spans="1:4" hidden="1">
      <c r="A337" s="23" t="s">
        <v>466</v>
      </c>
      <c r="B337" s="23" t="s">
        <v>887</v>
      </c>
      <c r="C337" s="19" t="s">
        <v>205</v>
      </c>
      <c r="D337" s="48" t="s">
        <v>888</v>
      </c>
    </row>
    <row r="338" spans="1:4" hidden="1">
      <c r="A338" s="23" t="s">
        <v>466</v>
      </c>
      <c r="B338" s="23" t="s">
        <v>889</v>
      </c>
      <c r="C338" s="19" t="s">
        <v>205</v>
      </c>
      <c r="D338" s="48" t="s">
        <v>890</v>
      </c>
    </row>
    <row r="339" spans="1:4" hidden="1">
      <c r="A339" s="23" t="s">
        <v>466</v>
      </c>
      <c r="B339" s="23" t="s">
        <v>891</v>
      </c>
      <c r="C339" s="19" t="s">
        <v>205</v>
      </c>
      <c r="D339" s="48" t="s">
        <v>892</v>
      </c>
    </row>
    <row r="340" spans="1:4" hidden="1">
      <c r="A340" s="23" t="s">
        <v>466</v>
      </c>
      <c r="B340" s="23" t="s">
        <v>893</v>
      </c>
      <c r="C340" s="19" t="s">
        <v>205</v>
      </c>
      <c r="D340" s="48" t="s">
        <v>894</v>
      </c>
    </row>
    <row r="341" spans="1:4" hidden="1">
      <c r="A341" s="23" t="s">
        <v>466</v>
      </c>
      <c r="B341" s="23" t="s">
        <v>895</v>
      </c>
      <c r="C341" s="19" t="s">
        <v>205</v>
      </c>
      <c r="D341" s="48" t="s">
        <v>896</v>
      </c>
    </row>
    <row r="342" spans="1:4" hidden="1">
      <c r="A342" s="23" t="s">
        <v>466</v>
      </c>
      <c r="B342" s="23" t="s">
        <v>897</v>
      </c>
      <c r="C342" s="19" t="s">
        <v>205</v>
      </c>
      <c r="D342" s="48" t="s">
        <v>898</v>
      </c>
    </row>
    <row r="343" spans="1:4" hidden="1">
      <c r="A343" s="23" t="s">
        <v>466</v>
      </c>
      <c r="B343" s="23" t="s">
        <v>899</v>
      </c>
      <c r="C343" s="19" t="s">
        <v>205</v>
      </c>
      <c r="D343" s="48" t="s">
        <v>900</v>
      </c>
    </row>
    <row r="344" spans="1:4" hidden="1">
      <c r="A344" s="23" t="s">
        <v>466</v>
      </c>
      <c r="B344" s="23" t="s">
        <v>901</v>
      </c>
      <c r="C344" s="19" t="s">
        <v>205</v>
      </c>
      <c r="D344" s="48" t="s">
        <v>902</v>
      </c>
    </row>
    <row r="345" spans="1:4" hidden="1">
      <c r="A345" s="23" t="s">
        <v>466</v>
      </c>
      <c r="B345" s="23" t="s">
        <v>903</v>
      </c>
      <c r="C345" s="19" t="s">
        <v>205</v>
      </c>
      <c r="D345" s="48" t="s">
        <v>904</v>
      </c>
    </row>
    <row r="346" spans="1:4" hidden="1">
      <c r="A346" s="23" t="s">
        <v>466</v>
      </c>
      <c r="B346" s="23" t="s">
        <v>905</v>
      </c>
      <c r="C346" s="19" t="s">
        <v>205</v>
      </c>
      <c r="D346" s="48" t="s">
        <v>906</v>
      </c>
    </row>
    <row r="347" spans="1:4" hidden="1">
      <c r="A347" s="23" t="s">
        <v>466</v>
      </c>
      <c r="B347" s="23" t="s">
        <v>907</v>
      </c>
      <c r="C347" s="19" t="s">
        <v>205</v>
      </c>
      <c r="D347" s="48" t="s">
        <v>908</v>
      </c>
    </row>
    <row r="348" spans="1:4" hidden="1">
      <c r="A348" s="23" t="s">
        <v>466</v>
      </c>
      <c r="B348" s="23" t="s">
        <v>909</v>
      </c>
      <c r="C348" s="19" t="s">
        <v>205</v>
      </c>
      <c r="D348" s="48" t="s">
        <v>910</v>
      </c>
    </row>
    <row r="349" spans="1:4" hidden="1">
      <c r="A349" s="23" t="s">
        <v>466</v>
      </c>
      <c r="B349" s="23" t="s">
        <v>911</v>
      </c>
      <c r="C349" s="19" t="s">
        <v>205</v>
      </c>
      <c r="D349" s="48" t="s">
        <v>912</v>
      </c>
    </row>
    <row r="350" spans="1:4" hidden="1">
      <c r="A350" s="23" t="s">
        <v>466</v>
      </c>
      <c r="B350" s="23" t="s">
        <v>913</v>
      </c>
      <c r="C350" s="19" t="s">
        <v>205</v>
      </c>
      <c r="D350" s="48" t="s">
        <v>914</v>
      </c>
    </row>
    <row r="351" spans="1:4" hidden="1">
      <c r="A351" s="23" t="s">
        <v>466</v>
      </c>
      <c r="B351" s="23" t="s">
        <v>915</v>
      </c>
      <c r="C351" s="19" t="s">
        <v>205</v>
      </c>
      <c r="D351" s="48" t="s">
        <v>916</v>
      </c>
    </row>
    <row r="352" spans="1:4" hidden="1">
      <c r="A352" s="23" t="s">
        <v>466</v>
      </c>
      <c r="B352" s="23" t="s">
        <v>917</v>
      </c>
      <c r="C352" s="19" t="s">
        <v>205</v>
      </c>
      <c r="D352" s="48" t="s">
        <v>918</v>
      </c>
    </row>
    <row r="353" spans="1:4" hidden="1">
      <c r="A353" s="23" t="s">
        <v>466</v>
      </c>
      <c r="B353" s="23" t="s">
        <v>919</v>
      </c>
      <c r="C353" s="19" t="s">
        <v>205</v>
      </c>
      <c r="D353" s="48" t="s">
        <v>920</v>
      </c>
    </row>
    <row r="354" spans="1:4" hidden="1">
      <c r="A354" s="23" t="s">
        <v>466</v>
      </c>
      <c r="B354" s="23" t="s">
        <v>921</v>
      </c>
      <c r="C354" s="19" t="s">
        <v>205</v>
      </c>
      <c r="D354" s="48" t="s">
        <v>922</v>
      </c>
    </row>
    <row r="355" spans="1:4" hidden="1">
      <c r="A355" s="23" t="s">
        <v>466</v>
      </c>
      <c r="B355" s="23" t="s">
        <v>923</v>
      </c>
      <c r="C355" s="19" t="s">
        <v>205</v>
      </c>
      <c r="D355" s="48" t="s">
        <v>924</v>
      </c>
    </row>
    <row r="356" spans="1:4" hidden="1">
      <c r="A356" s="23" t="s">
        <v>466</v>
      </c>
      <c r="B356" s="23" t="s">
        <v>925</v>
      </c>
      <c r="C356" s="19" t="s">
        <v>205</v>
      </c>
      <c r="D356" s="48" t="s">
        <v>926</v>
      </c>
    </row>
    <row r="357" spans="1:4" hidden="1">
      <c r="A357" s="23" t="s">
        <v>466</v>
      </c>
      <c r="B357" s="23" t="s">
        <v>927</v>
      </c>
      <c r="C357" s="19" t="s">
        <v>205</v>
      </c>
      <c r="D357" s="48" t="s">
        <v>928</v>
      </c>
    </row>
    <row r="358" spans="1:4" hidden="1">
      <c r="A358" s="23" t="s">
        <v>466</v>
      </c>
      <c r="B358" s="23" t="s">
        <v>929</v>
      </c>
      <c r="C358" s="19" t="s">
        <v>205</v>
      </c>
      <c r="D358" s="48" t="s">
        <v>930</v>
      </c>
    </row>
    <row r="359" spans="1:4" hidden="1">
      <c r="A359" s="23" t="s">
        <v>466</v>
      </c>
      <c r="B359" s="23" t="s">
        <v>931</v>
      </c>
      <c r="C359" s="19" t="s">
        <v>205</v>
      </c>
      <c r="D359" s="48" t="s">
        <v>932</v>
      </c>
    </row>
    <row r="360" spans="1:4" hidden="1">
      <c r="A360" s="23" t="s">
        <v>466</v>
      </c>
      <c r="B360" s="23" t="s">
        <v>933</v>
      </c>
      <c r="C360" s="19" t="s">
        <v>205</v>
      </c>
      <c r="D360" s="48" t="s">
        <v>934</v>
      </c>
    </row>
    <row r="361" spans="1:4" hidden="1">
      <c r="A361" s="23" t="s">
        <v>466</v>
      </c>
      <c r="B361" s="23" t="s">
        <v>935</v>
      </c>
      <c r="C361" s="19" t="s">
        <v>205</v>
      </c>
      <c r="D361" s="48" t="s">
        <v>936</v>
      </c>
    </row>
    <row r="362" spans="1:4" hidden="1">
      <c r="A362" s="23" t="s">
        <v>466</v>
      </c>
      <c r="B362" s="23" t="s">
        <v>937</v>
      </c>
      <c r="C362" s="19" t="s">
        <v>205</v>
      </c>
      <c r="D362" s="48" t="s">
        <v>938</v>
      </c>
    </row>
    <row r="363" spans="1:4" hidden="1">
      <c r="A363" s="23" t="s">
        <v>466</v>
      </c>
      <c r="B363" s="23" t="s">
        <v>939</v>
      </c>
      <c r="C363" s="19" t="s">
        <v>205</v>
      </c>
      <c r="D363" s="48" t="s">
        <v>940</v>
      </c>
    </row>
    <row r="364" spans="1:4" hidden="1">
      <c r="A364" s="23" t="s">
        <v>466</v>
      </c>
      <c r="B364" s="23" t="s">
        <v>941</v>
      </c>
      <c r="C364" s="19" t="s">
        <v>205</v>
      </c>
      <c r="D364" s="48" t="s">
        <v>942</v>
      </c>
    </row>
    <row r="365" spans="1:4" hidden="1">
      <c r="A365" s="23" t="s">
        <v>466</v>
      </c>
      <c r="B365" s="23" t="s">
        <v>943</v>
      </c>
      <c r="C365" s="19" t="s">
        <v>205</v>
      </c>
      <c r="D365" s="48" t="s">
        <v>944</v>
      </c>
    </row>
    <row r="366" spans="1:4" hidden="1">
      <c r="A366" s="23" t="s">
        <v>466</v>
      </c>
      <c r="B366" s="23" t="s">
        <v>945</v>
      </c>
      <c r="C366" s="19" t="s">
        <v>205</v>
      </c>
      <c r="D366" s="48" t="s">
        <v>946</v>
      </c>
    </row>
    <row r="367" spans="1:4" hidden="1">
      <c r="A367" s="23" t="s">
        <v>466</v>
      </c>
      <c r="B367" s="23" t="s">
        <v>947</v>
      </c>
      <c r="C367" s="19" t="s">
        <v>205</v>
      </c>
      <c r="D367" s="48" t="s">
        <v>948</v>
      </c>
    </row>
    <row r="368" spans="1:4" hidden="1">
      <c r="A368" s="23" t="s">
        <v>466</v>
      </c>
      <c r="B368" s="23" t="s">
        <v>949</v>
      </c>
      <c r="C368" s="19" t="s">
        <v>205</v>
      </c>
      <c r="D368" s="48" t="s">
        <v>950</v>
      </c>
    </row>
    <row r="369" spans="1:4" hidden="1">
      <c r="A369" s="23" t="s">
        <v>466</v>
      </c>
      <c r="B369" s="23" t="s">
        <v>951</v>
      </c>
      <c r="C369" s="19" t="s">
        <v>205</v>
      </c>
      <c r="D369" s="48" t="s">
        <v>952</v>
      </c>
    </row>
    <row r="370" spans="1:4" hidden="1">
      <c r="A370" s="23" t="s">
        <v>466</v>
      </c>
      <c r="B370" s="23" t="s">
        <v>953</v>
      </c>
      <c r="C370" s="19" t="s">
        <v>205</v>
      </c>
      <c r="D370" s="48" t="s">
        <v>954</v>
      </c>
    </row>
    <row r="371" spans="1:4" hidden="1">
      <c r="A371" s="23" t="s">
        <v>466</v>
      </c>
      <c r="B371" s="23" t="s">
        <v>955</v>
      </c>
      <c r="C371" s="19" t="s">
        <v>205</v>
      </c>
      <c r="D371" s="48" t="s">
        <v>956</v>
      </c>
    </row>
    <row r="372" spans="1:4" hidden="1">
      <c r="A372" s="23" t="s">
        <v>466</v>
      </c>
      <c r="B372" s="23" t="s">
        <v>957</v>
      </c>
      <c r="C372" s="19" t="s">
        <v>205</v>
      </c>
      <c r="D372" s="48" t="s">
        <v>958</v>
      </c>
    </row>
    <row r="373" spans="1:4" hidden="1">
      <c r="A373" s="23" t="s">
        <v>466</v>
      </c>
      <c r="B373" s="23" t="s">
        <v>959</v>
      </c>
      <c r="C373" s="19" t="s">
        <v>205</v>
      </c>
      <c r="D373" s="48" t="s">
        <v>960</v>
      </c>
    </row>
    <row r="374" spans="1:4" hidden="1">
      <c r="A374" s="23" t="s">
        <v>466</v>
      </c>
      <c r="B374" s="23" t="s">
        <v>961</v>
      </c>
      <c r="C374" s="19" t="s">
        <v>205</v>
      </c>
      <c r="D374" s="48" t="s">
        <v>962</v>
      </c>
    </row>
    <row r="375" spans="1:4" hidden="1">
      <c r="A375" s="23" t="s">
        <v>466</v>
      </c>
      <c r="B375" s="23" t="s">
        <v>963</v>
      </c>
      <c r="C375" s="19" t="s">
        <v>205</v>
      </c>
      <c r="D375" s="48" t="s">
        <v>964</v>
      </c>
    </row>
    <row r="376" spans="1:4" hidden="1">
      <c r="A376" s="23" t="s">
        <v>466</v>
      </c>
      <c r="B376" s="23" t="s">
        <v>965</v>
      </c>
      <c r="C376" s="19" t="s">
        <v>205</v>
      </c>
      <c r="D376" s="48" t="s">
        <v>966</v>
      </c>
    </row>
    <row r="377" spans="1:4" hidden="1">
      <c r="A377" s="23" t="s">
        <v>466</v>
      </c>
      <c r="B377" s="23" t="s">
        <v>967</v>
      </c>
      <c r="C377" s="19" t="s">
        <v>205</v>
      </c>
      <c r="D377" s="48" t="s">
        <v>968</v>
      </c>
    </row>
    <row r="378" spans="1:4" hidden="1">
      <c r="A378" s="23" t="s">
        <v>466</v>
      </c>
      <c r="B378" s="23" t="s">
        <v>969</v>
      </c>
      <c r="C378" s="19" t="s">
        <v>205</v>
      </c>
      <c r="D378" s="48" t="s">
        <v>970</v>
      </c>
    </row>
    <row r="379" spans="1:4" hidden="1">
      <c r="A379" s="23" t="s">
        <v>466</v>
      </c>
      <c r="B379" s="23" t="s">
        <v>971</v>
      </c>
      <c r="C379" s="19" t="s">
        <v>205</v>
      </c>
      <c r="D379" s="48" t="s">
        <v>972</v>
      </c>
    </row>
    <row r="380" spans="1:4" hidden="1">
      <c r="A380" s="23" t="s">
        <v>466</v>
      </c>
      <c r="B380" s="23" t="s">
        <v>973</v>
      </c>
      <c r="C380" s="19" t="s">
        <v>205</v>
      </c>
      <c r="D380" s="48" t="s">
        <v>974</v>
      </c>
    </row>
    <row r="381" spans="1:4" hidden="1">
      <c r="A381" s="23" t="s">
        <v>466</v>
      </c>
      <c r="B381" s="23" t="s">
        <v>975</v>
      </c>
      <c r="C381" s="19" t="s">
        <v>205</v>
      </c>
      <c r="D381" s="48" t="s">
        <v>976</v>
      </c>
    </row>
    <row r="382" spans="1:4" hidden="1">
      <c r="A382" s="23" t="s">
        <v>466</v>
      </c>
      <c r="B382" s="23" t="s">
        <v>977</v>
      </c>
      <c r="C382" s="19" t="s">
        <v>205</v>
      </c>
      <c r="D382" s="48" t="s">
        <v>978</v>
      </c>
    </row>
    <row r="383" spans="1:4" hidden="1">
      <c r="A383" s="23" t="s">
        <v>466</v>
      </c>
      <c r="B383" s="23" t="s">
        <v>979</v>
      </c>
      <c r="C383" s="19" t="s">
        <v>205</v>
      </c>
      <c r="D383" s="48" t="s">
        <v>980</v>
      </c>
    </row>
    <row r="384" spans="1:4" hidden="1">
      <c r="A384" s="23" t="s">
        <v>466</v>
      </c>
      <c r="B384" s="23" t="s">
        <v>981</v>
      </c>
      <c r="C384" s="19" t="s">
        <v>205</v>
      </c>
      <c r="D384" s="48" t="s">
        <v>982</v>
      </c>
    </row>
    <row r="385" spans="1:4" hidden="1">
      <c r="A385" s="23" t="s">
        <v>466</v>
      </c>
      <c r="B385" s="23" t="s">
        <v>983</v>
      </c>
      <c r="C385" s="19" t="s">
        <v>205</v>
      </c>
      <c r="D385" s="48" t="s">
        <v>984</v>
      </c>
    </row>
    <row r="386" spans="1:4" hidden="1">
      <c r="A386" s="23" t="s">
        <v>466</v>
      </c>
      <c r="B386" s="23" t="s">
        <v>985</v>
      </c>
      <c r="C386" s="19" t="s">
        <v>205</v>
      </c>
      <c r="D386" s="48" t="s">
        <v>986</v>
      </c>
    </row>
    <row r="387" spans="1:4" hidden="1">
      <c r="A387" s="23" t="s">
        <v>466</v>
      </c>
      <c r="B387" s="23" t="s">
        <v>987</v>
      </c>
      <c r="C387" s="19" t="s">
        <v>205</v>
      </c>
      <c r="D387" s="48" t="s">
        <v>988</v>
      </c>
    </row>
    <row r="388" spans="1:4" hidden="1">
      <c r="A388" s="23" t="s">
        <v>466</v>
      </c>
      <c r="B388" s="23" t="s">
        <v>989</v>
      </c>
      <c r="C388" s="19" t="s">
        <v>205</v>
      </c>
      <c r="D388" s="48" t="s">
        <v>990</v>
      </c>
    </row>
    <row r="389" spans="1:4" hidden="1">
      <c r="A389" s="23" t="s">
        <v>466</v>
      </c>
      <c r="B389" s="23" t="s">
        <v>991</v>
      </c>
      <c r="C389" s="19" t="s">
        <v>205</v>
      </c>
      <c r="D389" s="48" t="s">
        <v>992</v>
      </c>
    </row>
    <row r="390" spans="1:4" hidden="1">
      <c r="A390" s="23" t="s">
        <v>466</v>
      </c>
      <c r="B390" s="23" t="s">
        <v>993</v>
      </c>
      <c r="C390" s="19" t="s">
        <v>205</v>
      </c>
      <c r="D390" s="48" t="s">
        <v>994</v>
      </c>
    </row>
    <row r="391" spans="1:4" hidden="1">
      <c r="A391" s="23" t="s">
        <v>466</v>
      </c>
      <c r="B391" s="23" t="s">
        <v>995</v>
      </c>
      <c r="C391" s="19" t="s">
        <v>205</v>
      </c>
      <c r="D391" s="48" t="s">
        <v>996</v>
      </c>
    </row>
    <row r="392" spans="1:4" hidden="1">
      <c r="A392" s="23" t="s">
        <v>466</v>
      </c>
      <c r="B392" s="23" t="s">
        <v>997</v>
      </c>
      <c r="C392" s="19" t="s">
        <v>205</v>
      </c>
      <c r="D392" s="48" t="s">
        <v>998</v>
      </c>
    </row>
    <row r="393" spans="1:4" hidden="1">
      <c r="A393" s="23" t="s">
        <v>466</v>
      </c>
      <c r="B393" s="23" t="s">
        <v>999</v>
      </c>
      <c r="C393" s="19" t="s">
        <v>205</v>
      </c>
      <c r="D393" s="48" t="s">
        <v>1000</v>
      </c>
    </row>
    <row r="394" spans="1:4" hidden="1">
      <c r="A394" s="23" t="s">
        <v>466</v>
      </c>
      <c r="B394" s="23" t="s">
        <v>1001</v>
      </c>
      <c r="C394" s="19" t="s">
        <v>205</v>
      </c>
      <c r="D394" s="48" t="s">
        <v>1002</v>
      </c>
    </row>
    <row r="395" spans="1:4" hidden="1">
      <c r="A395" s="23" t="s">
        <v>466</v>
      </c>
      <c r="B395" s="23" t="s">
        <v>1003</v>
      </c>
      <c r="C395" s="19" t="s">
        <v>205</v>
      </c>
      <c r="D395" s="48" t="s">
        <v>1004</v>
      </c>
    </row>
    <row r="396" spans="1:4" hidden="1">
      <c r="A396" s="23" t="s">
        <v>466</v>
      </c>
      <c r="B396" s="23" t="s">
        <v>1005</v>
      </c>
      <c r="C396" s="19" t="s">
        <v>205</v>
      </c>
      <c r="D396" s="48" t="s">
        <v>1006</v>
      </c>
    </row>
    <row r="397" spans="1:4" hidden="1">
      <c r="A397" s="23" t="s">
        <v>466</v>
      </c>
      <c r="B397" s="23" t="s">
        <v>1007</v>
      </c>
      <c r="C397" s="19" t="s">
        <v>205</v>
      </c>
      <c r="D397" s="48" t="s">
        <v>1008</v>
      </c>
    </row>
    <row r="398" spans="1:4" hidden="1">
      <c r="A398" s="23" t="s">
        <v>466</v>
      </c>
      <c r="B398" s="23" t="s">
        <v>1009</v>
      </c>
      <c r="C398" s="19" t="s">
        <v>205</v>
      </c>
      <c r="D398" s="48" t="s">
        <v>1010</v>
      </c>
    </row>
    <row r="399" spans="1:4" hidden="1">
      <c r="A399" s="23" t="s">
        <v>466</v>
      </c>
      <c r="B399" s="23" t="s">
        <v>1011</v>
      </c>
      <c r="C399" s="19" t="s">
        <v>205</v>
      </c>
      <c r="D399" s="48" t="s">
        <v>1012</v>
      </c>
    </row>
    <row r="400" spans="1:4" hidden="1">
      <c r="A400" s="23" t="s">
        <v>466</v>
      </c>
      <c r="B400" s="23" t="s">
        <v>1013</v>
      </c>
      <c r="C400" s="19" t="s">
        <v>205</v>
      </c>
      <c r="D400" s="48" t="s">
        <v>1014</v>
      </c>
    </row>
    <row r="401" spans="1:4" hidden="1">
      <c r="A401" s="23" t="s">
        <v>466</v>
      </c>
      <c r="B401" s="23" t="s">
        <v>1015</v>
      </c>
      <c r="C401" s="19" t="s">
        <v>205</v>
      </c>
      <c r="D401" s="48" t="s">
        <v>1016</v>
      </c>
    </row>
    <row r="402" spans="1:4" hidden="1">
      <c r="A402" s="23" t="s">
        <v>466</v>
      </c>
      <c r="B402" s="23" t="s">
        <v>1017</v>
      </c>
      <c r="C402" s="19" t="s">
        <v>205</v>
      </c>
      <c r="D402" s="48" t="s">
        <v>1018</v>
      </c>
    </row>
    <row r="403" spans="1:4" hidden="1">
      <c r="A403" s="23" t="s">
        <v>466</v>
      </c>
      <c r="B403" s="23" t="s">
        <v>1019</v>
      </c>
      <c r="C403" s="19" t="s">
        <v>205</v>
      </c>
      <c r="D403" s="48" t="s">
        <v>1020</v>
      </c>
    </row>
    <row r="404" spans="1:4" hidden="1">
      <c r="A404" s="23" t="s">
        <v>466</v>
      </c>
      <c r="B404" s="23" t="s">
        <v>1021</v>
      </c>
      <c r="C404" s="19" t="s">
        <v>205</v>
      </c>
      <c r="D404" s="48" t="s">
        <v>1022</v>
      </c>
    </row>
    <row r="405" spans="1:4" hidden="1">
      <c r="A405" s="23" t="s">
        <v>466</v>
      </c>
      <c r="B405" s="23" t="s">
        <v>1023</v>
      </c>
      <c r="C405" s="19" t="s">
        <v>205</v>
      </c>
      <c r="D405" s="48" t="s">
        <v>1024</v>
      </c>
    </row>
    <row r="406" spans="1:4" hidden="1">
      <c r="A406" s="23" t="s">
        <v>466</v>
      </c>
      <c r="B406" s="23" t="s">
        <v>1025</v>
      </c>
      <c r="C406" s="19" t="s">
        <v>205</v>
      </c>
      <c r="D406" s="48" t="s">
        <v>1026</v>
      </c>
    </row>
    <row r="407" spans="1:4" hidden="1">
      <c r="A407" s="23" t="s">
        <v>466</v>
      </c>
      <c r="B407" s="23" t="s">
        <v>1027</v>
      </c>
      <c r="C407" s="19" t="s">
        <v>205</v>
      </c>
      <c r="D407" s="48" t="s">
        <v>1028</v>
      </c>
    </row>
    <row r="408" spans="1:4" hidden="1">
      <c r="A408" s="23" t="s">
        <v>466</v>
      </c>
      <c r="B408" s="23" t="s">
        <v>1029</v>
      </c>
      <c r="C408" s="19" t="s">
        <v>205</v>
      </c>
      <c r="D408" s="48" t="s">
        <v>1030</v>
      </c>
    </row>
    <row r="409" spans="1:4" hidden="1">
      <c r="A409" s="23" t="s">
        <v>466</v>
      </c>
      <c r="B409" s="23" t="s">
        <v>1031</v>
      </c>
      <c r="C409" s="19" t="s">
        <v>205</v>
      </c>
      <c r="D409" s="48" t="s">
        <v>1032</v>
      </c>
    </row>
    <row r="410" spans="1:4" hidden="1">
      <c r="A410" s="23" t="s">
        <v>466</v>
      </c>
      <c r="B410" s="23" t="s">
        <v>1033</v>
      </c>
      <c r="C410" s="19" t="s">
        <v>205</v>
      </c>
      <c r="D410" s="48" t="s">
        <v>1034</v>
      </c>
    </row>
    <row r="411" spans="1:4" hidden="1">
      <c r="A411" s="23" t="s">
        <v>466</v>
      </c>
      <c r="B411" s="23" t="s">
        <v>1035</v>
      </c>
      <c r="C411" s="19" t="s">
        <v>205</v>
      </c>
      <c r="D411" s="48" t="s">
        <v>1036</v>
      </c>
    </row>
    <row r="412" spans="1:4" hidden="1">
      <c r="A412" s="23" t="s">
        <v>466</v>
      </c>
      <c r="B412" s="23" t="s">
        <v>1037</v>
      </c>
      <c r="C412" s="19" t="s">
        <v>205</v>
      </c>
      <c r="D412" s="48" t="s">
        <v>1038</v>
      </c>
    </row>
    <row r="413" spans="1:4" hidden="1">
      <c r="A413" s="23" t="s">
        <v>466</v>
      </c>
      <c r="B413" s="23" t="s">
        <v>1039</v>
      </c>
      <c r="C413" s="19" t="s">
        <v>205</v>
      </c>
      <c r="D413" s="48" t="s">
        <v>1040</v>
      </c>
    </row>
    <row r="414" spans="1:4" ht="16.5" hidden="1">
      <c r="A414" s="79" t="s">
        <v>1041</v>
      </c>
      <c r="B414" s="23" t="s">
        <v>1042</v>
      </c>
      <c r="C414" s="19" t="s">
        <v>72</v>
      </c>
      <c r="D414" t="s">
        <v>1043</v>
      </c>
    </row>
    <row r="415" spans="1:4" ht="16.5" hidden="1">
      <c r="A415" s="79" t="s">
        <v>1041</v>
      </c>
      <c r="B415" s="23" t="s">
        <v>1044</v>
      </c>
      <c r="C415" s="19" t="s">
        <v>72</v>
      </c>
      <c r="D415" t="s">
        <v>1045</v>
      </c>
    </row>
    <row r="416" spans="1:4" ht="16.5">
      <c r="A416" s="44" t="s">
        <v>1046</v>
      </c>
      <c r="B416" s="79" t="s">
        <v>1047</v>
      </c>
      <c r="C416" s="19" t="s">
        <v>77</v>
      </c>
      <c r="D416" s="48">
        <v>2</v>
      </c>
    </row>
    <row r="417" spans="1:4" ht="16.5">
      <c r="A417" s="44" t="s">
        <v>1046</v>
      </c>
      <c r="B417" s="79" t="s">
        <v>1048</v>
      </c>
      <c r="C417" s="19" t="s">
        <v>77</v>
      </c>
      <c r="D417" s="48">
        <v>1</v>
      </c>
    </row>
    <row r="418" spans="1:4" hidden="1">
      <c r="A418" t="s">
        <v>1049</v>
      </c>
      <c r="B418" s="58" t="s">
        <v>1050</v>
      </c>
      <c r="C418" s="19" t="s">
        <v>139</v>
      </c>
      <c r="D418" s="48" t="s">
        <v>1051</v>
      </c>
    </row>
    <row r="419" spans="1:4" hidden="1">
      <c r="A419" t="s">
        <v>1049</v>
      </c>
      <c r="B419" s="23" t="s">
        <v>1052</v>
      </c>
      <c r="C419" s="19" t="s">
        <v>139</v>
      </c>
      <c r="D419" s="23" t="s">
        <v>1053</v>
      </c>
    </row>
    <row r="420" spans="1:4" hidden="1">
      <c r="A420" t="s">
        <v>1049</v>
      </c>
      <c r="B420" s="23" t="s">
        <v>1054</v>
      </c>
      <c r="C420" s="19" t="s">
        <v>139</v>
      </c>
      <c r="D420" s="23" t="s">
        <v>1055</v>
      </c>
    </row>
    <row r="421" spans="1:4" hidden="1">
      <c r="A421" t="s">
        <v>1049</v>
      </c>
      <c r="B421" s="23" t="s">
        <v>1056</v>
      </c>
      <c r="C421" s="19" t="s">
        <v>139</v>
      </c>
      <c r="D421" s="23" t="s">
        <v>1057</v>
      </c>
    </row>
    <row r="422" spans="1:4" hidden="1">
      <c r="A422" t="s">
        <v>1049</v>
      </c>
      <c r="B422" s="23" t="s">
        <v>1058</v>
      </c>
      <c r="C422" s="19" t="s">
        <v>139</v>
      </c>
      <c r="D422" s="23" t="s">
        <v>1059</v>
      </c>
    </row>
    <row r="423" spans="1:4" hidden="1">
      <c r="A423" t="s">
        <v>1049</v>
      </c>
      <c r="B423" s="23" t="s">
        <v>1060</v>
      </c>
      <c r="C423" s="19" t="s">
        <v>139</v>
      </c>
      <c r="D423" s="23" t="s">
        <v>1061</v>
      </c>
    </row>
    <row r="424" spans="1:4" hidden="1">
      <c r="A424" t="s">
        <v>1049</v>
      </c>
      <c r="B424" s="23" t="s">
        <v>1062</v>
      </c>
      <c r="C424" s="19" t="s">
        <v>139</v>
      </c>
      <c r="D424" s="23" t="s">
        <v>1063</v>
      </c>
    </row>
    <row r="425" spans="1:4" ht="16.5" hidden="1">
      <c r="A425" s="79" t="s">
        <v>1064</v>
      </c>
      <c r="B425" s="19" t="s">
        <v>1065</v>
      </c>
      <c r="C425" s="19" t="s">
        <v>127</v>
      </c>
      <c r="D425" s="23" t="s">
        <v>1066</v>
      </c>
    </row>
    <row r="426" spans="1:4" ht="16.5" hidden="1">
      <c r="A426" s="79" t="s">
        <v>1064</v>
      </c>
      <c r="B426" s="19" t="s">
        <v>1067</v>
      </c>
      <c r="C426" s="19" t="s">
        <v>127</v>
      </c>
      <c r="D426" s="23" t="s">
        <v>1068</v>
      </c>
    </row>
    <row r="427" spans="1:4" ht="16.5" hidden="1">
      <c r="A427" s="79" t="s">
        <v>1064</v>
      </c>
      <c r="B427" s="19" t="s">
        <v>1069</v>
      </c>
      <c r="C427" s="19" t="s">
        <v>127</v>
      </c>
      <c r="D427" s="23" t="s">
        <v>1070</v>
      </c>
    </row>
    <row r="428" spans="1:4" ht="16.5" hidden="1">
      <c r="A428" s="79" t="s">
        <v>1064</v>
      </c>
      <c r="B428" s="19" t="s">
        <v>1071</v>
      </c>
      <c r="C428" s="19" t="s">
        <v>127</v>
      </c>
      <c r="D428" s="23" t="s">
        <v>1072</v>
      </c>
    </row>
    <row r="429" spans="1:4" ht="16.5" hidden="1">
      <c r="A429" s="79" t="s">
        <v>1064</v>
      </c>
      <c r="B429" s="19" t="s">
        <v>1073</v>
      </c>
      <c r="C429" s="19" t="s">
        <v>127</v>
      </c>
      <c r="D429" s="23" t="s">
        <v>1074</v>
      </c>
    </row>
    <row r="430" spans="1:4" ht="16.5" hidden="1">
      <c r="A430" s="79" t="s">
        <v>1064</v>
      </c>
      <c r="B430" s="19" t="s">
        <v>1075</v>
      </c>
      <c r="C430" s="19" t="s">
        <v>127</v>
      </c>
      <c r="D430" s="23" t="s">
        <v>1076</v>
      </c>
    </row>
    <row r="431" spans="1:4" ht="16.5" hidden="1">
      <c r="A431" s="79" t="s">
        <v>1064</v>
      </c>
      <c r="B431" s="19" t="s">
        <v>1077</v>
      </c>
      <c r="C431" s="19" t="s">
        <v>127</v>
      </c>
      <c r="D431" s="23" t="s">
        <v>1078</v>
      </c>
    </row>
    <row r="432" spans="1:4" ht="16.5" hidden="1">
      <c r="A432" s="79" t="s">
        <v>1064</v>
      </c>
      <c r="B432" s="19" t="s">
        <v>1079</v>
      </c>
      <c r="C432" s="19" t="s">
        <v>127</v>
      </c>
      <c r="D432" s="23" t="s">
        <v>1080</v>
      </c>
    </row>
    <row r="433" spans="1:4" ht="16.5" hidden="1">
      <c r="A433" s="79" t="s">
        <v>1064</v>
      </c>
      <c r="B433" s="19" t="s">
        <v>1081</v>
      </c>
      <c r="C433" s="19" t="s">
        <v>127</v>
      </c>
      <c r="D433" s="23" t="s">
        <v>1082</v>
      </c>
    </row>
    <row r="434" spans="1:4" ht="16.5" hidden="1">
      <c r="A434" s="79" t="s">
        <v>1064</v>
      </c>
      <c r="B434" s="19" t="s">
        <v>1083</v>
      </c>
      <c r="C434" s="19" t="s">
        <v>127</v>
      </c>
      <c r="D434" s="23" t="s">
        <v>1084</v>
      </c>
    </row>
    <row r="435" spans="1:4" ht="16.5" hidden="1">
      <c r="A435" s="79" t="s">
        <v>1064</v>
      </c>
      <c r="B435" s="19" t="s">
        <v>1085</v>
      </c>
      <c r="C435" s="19" t="s">
        <v>127</v>
      </c>
      <c r="D435" s="23" t="s">
        <v>1086</v>
      </c>
    </row>
    <row r="436" spans="1:4" ht="16.5" hidden="1">
      <c r="A436" s="23" t="s">
        <v>1087</v>
      </c>
      <c r="B436" s="59" t="s">
        <v>1088</v>
      </c>
      <c r="C436" s="19" t="s">
        <v>1089</v>
      </c>
      <c r="D436" s="60" t="s">
        <v>1090</v>
      </c>
    </row>
    <row r="437" spans="1:4" ht="16.5" hidden="1">
      <c r="A437" s="16" t="s">
        <v>1087</v>
      </c>
      <c r="B437" s="59" t="s">
        <v>1091</v>
      </c>
      <c r="C437" s="19" t="s">
        <v>1089</v>
      </c>
      <c r="D437" s="60" t="s">
        <v>1092</v>
      </c>
    </row>
    <row r="438" spans="1:4" ht="16.5" hidden="1">
      <c r="A438" s="16" t="s">
        <v>1087</v>
      </c>
      <c r="B438" s="59" t="s">
        <v>1093</v>
      </c>
      <c r="C438" s="19" t="s">
        <v>1089</v>
      </c>
      <c r="D438" s="60" t="s">
        <v>1094</v>
      </c>
    </row>
    <row r="439" spans="1:4" ht="16.5" hidden="1">
      <c r="A439" s="16" t="s">
        <v>1087</v>
      </c>
      <c r="B439" s="59" t="s">
        <v>1095</v>
      </c>
      <c r="C439" s="19" t="s">
        <v>1089</v>
      </c>
      <c r="D439" s="60" t="s">
        <v>1096</v>
      </c>
    </row>
    <row r="440" spans="1:4" ht="16.5" hidden="1">
      <c r="A440" s="16" t="s">
        <v>1087</v>
      </c>
      <c r="B440" s="59" t="s">
        <v>1097</v>
      </c>
      <c r="C440" s="19" t="s">
        <v>1089</v>
      </c>
      <c r="D440" s="60" t="s">
        <v>1098</v>
      </c>
    </row>
    <row r="441" spans="1:4" ht="16.5" hidden="1">
      <c r="A441" s="16" t="s">
        <v>1087</v>
      </c>
      <c r="B441" s="59" t="s">
        <v>1099</v>
      </c>
      <c r="C441" s="19" t="s">
        <v>1089</v>
      </c>
      <c r="D441" s="60" t="s">
        <v>1100</v>
      </c>
    </row>
    <row r="442" spans="1:4" ht="16.5" hidden="1">
      <c r="A442" s="16" t="s">
        <v>1087</v>
      </c>
      <c r="B442" s="59" t="s">
        <v>1101</v>
      </c>
      <c r="C442" s="19" t="s">
        <v>1089</v>
      </c>
      <c r="D442" s="60" t="s">
        <v>1102</v>
      </c>
    </row>
    <row r="443" spans="1:4" ht="16.5" hidden="1">
      <c r="A443" s="16" t="s">
        <v>1087</v>
      </c>
      <c r="B443" s="59" t="s">
        <v>1103</v>
      </c>
      <c r="C443" s="19" t="s">
        <v>1089</v>
      </c>
      <c r="D443" s="60" t="s">
        <v>1104</v>
      </c>
    </row>
    <row r="444" spans="1:4" ht="16.5" hidden="1">
      <c r="A444" s="16" t="s">
        <v>1087</v>
      </c>
      <c r="B444" s="59" t="s">
        <v>1105</v>
      </c>
      <c r="C444" s="19" t="s">
        <v>1089</v>
      </c>
      <c r="D444" s="60" t="s">
        <v>1106</v>
      </c>
    </row>
    <row r="445" spans="1:4" ht="16.5" hidden="1">
      <c r="A445" s="79" t="s">
        <v>1107</v>
      </c>
      <c r="B445" s="23" t="s">
        <v>1108</v>
      </c>
      <c r="C445" s="19" t="s">
        <v>1109</v>
      </c>
      <c r="D445" s="23" t="s">
        <v>1110</v>
      </c>
    </row>
    <row r="446" spans="1:4" ht="16.5" hidden="1">
      <c r="A446" s="79" t="s">
        <v>1107</v>
      </c>
      <c r="B446" s="23" t="s">
        <v>1111</v>
      </c>
      <c r="C446" s="19" t="s">
        <v>1109</v>
      </c>
      <c r="D446" s="23" t="s">
        <v>1112</v>
      </c>
    </row>
    <row r="447" spans="1:4" ht="16.5" hidden="1">
      <c r="A447" s="79" t="s">
        <v>1107</v>
      </c>
      <c r="B447" s="23" t="s">
        <v>1113</v>
      </c>
      <c r="C447" s="19" t="s">
        <v>1109</v>
      </c>
      <c r="D447" s="23" t="s">
        <v>1114</v>
      </c>
    </row>
    <row r="448" spans="1:4" ht="16.5" hidden="1">
      <c r="A448" s="79" t="s">
        <v>1107</v>
      </c>
      <c r="B448" s="23" t="s">
        <v>1115</v>
      </c>
      <c r="C448" s="19" t="s">
        <v>1109</v>
      </c>
      <c r="D448" s="23" t="s">
        <v>1055</v>
      </c>
    </row>
    <row r="449" spans="1:4" ht="16.5" hidden="1">
      <c r="A449" s="79" t="s">
        <v>1107</v>
      </c>
      <c r="B449" s="23" t="s">
        <v>1116</v>
      </c>
      <c r="C449" s="19" t="s">
        <v>1109</v>
      </c>
      <c r="D449" s="23" t="s">
        <v>1117</v>
      </c>
    </row>
    <row r="450" spans="1:4" ht="16.5" hidden="1">
      <c r="A450" s="79" t="s">
        <v>1107</v>
      </c>
      <c r="B450" s="23" t="s">
        <v>1118</v>
      </c>
      <c r="C450" s="19" t="s">
        <v>1109</v>
      </c>
      <c r="D450" s="23" t="s">
        <v>1119</v>
      </c>
    </row>
    <row r="451" spans="1:4" ht="16.5" hidden="1">
      <c r="A451" s="79" t="s">
        <v>1107</v>
      </c>
      <c r="B451" s="23" t="s">
        <v>1120</v>
      </c>
      <c r="C451" s="19" t="s">
        <v>1109</v>
      </c>
      <c r="D451" s="23" t="s">
        <v>1121</v>
      </c>
    </row>
    <row r="452" spans="1:4" ht="16.5" hidden="1">
      <c r="A452" s="79" t="s">
        <v>1107</v>
      </c>
      <c r="B452" s="23" t="s">
        <v>1122</v>
      </c>
      <c r="C452" s="19" t="s">
        <v>1109</v>
      </c>
      <c r="D452" s="23" t="s">
        <v>1123</v>
      </c>
    </row>
    <row r="453" spans="1:4" ht="16.5" hidden="1">
      <c r="A453" s="79" t="s">
        <v>1107</v>
      </c>
      <c r="B453" s="23" t="s">
        <v>1124</v>
      </c>
      <c r="C453" s="19" t="s">
        <v>1109</v>
      </c>
      <c r="D453" s="23" t="s">
        <v>1125</v>
      </c>
    </row>
    <row r="454" spans="1:4" ht="16.5" hidden="1">
      <c r="A454" s="79" t="s">
        <v>1107</v>
      </c>
      <c r="B454" s="23" t="s">
        <v>1126</v>
      </c>
      <c r="C454" s="19" t="s">
        <v>1109</v>
      </c>
      <c r="D454" s="23" t="s">
        <v>1127</v>
      </c>
    </row>
    <row r="455" spans="1:4" ht="16.5" hidden="1">
      <c r="A455" s="79" t="s">
        <v>1107</v>
      </c>
      <c r="B455" s="23" t="s">
        <v>1128</v>
      </c>
      <c r="C455" s="19" t="s">
        <v>1109</v>
      </c>
      <c r="D455" s="23" t="s">
        <v>1129</v>
      </c>
    </row>
    <row r="456" spans="1:4" ht="16.5" hidden="1">
      <c r="A456" s="79" t="s">
        <v>1107</v>
      </c>
      <c r="B456" s="23" t="s">
        <v>1130</v>
      </c>
      <c r="C456" s="19" t="s">
        <v>1109</v>
      </c>
      <c r="D456" s="23" t="s">
        <v>1131</v>
      </c>
    </row>
    <row r="457" spans="1:4" ht="16.5" hidden="1">
      <c r="A457" s="79" t="s">
        <v>1107</v>
      </c>
      <c r="B457" s="23" t="s">
        <v>1132</v>
      </c>
      <c r="C457" s="19" t="s">
        <v>1109</v>
      </c>
      <c r="D457" s="23" t="s">
        <v>1133</v>
      </c>
    </row>
    <row r="458" spans="1:4" ht="16.5" hidden="1">
      <c r="A458" s="79" t="s">
        <v>1107</v>
      </c>
      <c r="B458" s="23" t="s">
        <v>1134</v>
      </c>
      <c r="C458" s="19" t="s">
        <v>1109</v>
      </c>
      <c r="D458" s="23" t="s">
        <v>1135</v>
      </c>
    </row>
    <row r="459" spans="1:4" ht="16.5" hidden="1">
      <c r="A459" s="79" t="s">
        <v>1107</v>
      </c>
      <c r="B459" s="23" t="s">
        <v>1136</v>
      </c>
      <c r="C459" s="19" t="s">
        <v>1109</v>
      </c>
      <c r="D459" s="23" t="s">
        <v>1137</v>
      </c>
    </row>
    <row r="460" spans="1:4" ht="16.5" hidden="1">
      <c r="A460" s="79" t="s">
        <v>1107</v>
      </c>
      <c r="B460" s="23" t="s">
        <v>1138</v>
      </c>
      <c r="C460" s="19" t="s">
        <v>1109</v>
      </c>
      <c r="D460" s="23" t="s">
        <v>1139</v>
      </c>
    </row>
    <row r="461" spans="1:4" ht="16.5" hidden="1">
      <c r="A461" s="79" t="s">
        <v>1107</v>
      </c>
      <c r="B461" s="23" t="s">
        <v>1140</v>
      </c>
      <c r="C461" s="19" t="s">
        <v>1109</v>
      </c>
      <c r="D461" s="23" t="s">
        <v>1141</v>
      </c>
    </row>
    <row r="462" spans="1:4" ht="16.5" hidden="1">
      <c r="A462" s="79" t="s">
        <v>1107</v>
      </c>
      <c r="B462" s="23" t="s">
        <v>1142</v>
      </c>
      <c r="C462" s="19" t="s">
        <v>1109</v>
      </c>
      <c r="D462" s="23" t="s">
        <v>1143</v>
      </c>
    </row>
    <row r="463" spans="1:4" ht="16.5" hidden="1">
      <c r="A463" s="79" t="s">
        <v>1107</v>
      </c>
      <c r="B463" s="23" t="s">
        <v>1144</v>
      </c>
      <c r="C463" s="19" t="s">
        <v>1109</v>
      </c>
      <c r="D463" s="23" t="s">
        <v>1145</v>
      </c>
    </row>
    <row r="464" spans="1:4" ht="16.5" hidden="1">
      <c r="A464" s="79" t="s">
        <v>1107</v>
      </c>
      <c r="B464" s="23" t="s">
        <v>1146</v>
      </c>
      <c r="C464" s="19" t="s">
        <v>1109</v>
      </c>
      <c r="D464" s="23" t="s">
        <v>1147</v>
      </c>
    </row>
    <row r="465" spans="1:4" ht="16.5" hidden="1">
      <c r="A465" s="79" t="s">
        <v>1107</v>
      </c>
      <c r="B465" s="23" t="s">
        <v>1148</v>
      </c>
      <c r="C465" s="19" t="s">
        <v>1109</v>
      </c>
      <c r="D465" s="23" t="s">
        <v>1149</v>
      </c>
    </row>
    <row r="466" spans="1:4" ht="16.5" hidden="1">
      <c r="A466" s="79" t="s">
        <v>1107</v>
      </c>
      <c r="B466" s="23" t="s">
        <v>1150</v>
      </c>
      <c r="C466" s="19" t="s">
        <v>1109</v>
      </c>
      <c r="D466" s="23" t="s">
        <v>1151</v>
      </c>
    </row>
    <row r="467" spans="1:4" ht="16.5" hidden="1">
      <c r="A467" s="79" t="s">
        <v>1107</v>
      </c>
      <c r="B467" s="23" t="s">
        <v>1152</v>
      </c>
      <c r="C467" s="19" t="s">
        <v>1109</v>
      </c>
      <c r="D467" s="23" t="s">
        <v>1153</v>
      </c>
    </row>
    <row r="468" spans="1:4" ht="16.5" hidden="1">
      <c r="A468" s="79" t="s">
        <v>1107</v>
      </c>
      <c r="B468" s="23" t="s">
        <v>1154</v>
      </c>
      <c r="C468" s="19" t="s">
        <v>1109</v>
      </c>
      <c r="D468" s="23" t="s">
        <v>1155</v>
      </c>
    </row>
    <row r="469" spans="1:4" ht="16.5" hidden="1">
      <c r="A469" s="79" t="s">
        <v>1107</v>
      </c>
      <c r="B469" s="23" t="s">
        <v>1156</v>
      </c>
      <c r="C469" s="19" t="s">
        <v>1109</v>
      </c>
      <c r="D469" s="23" t="s">
        <v>1157</v>
      </c>
    </row>
    <row r="470" spans="1:4" ht="16.5" hidden="1">
      <c r="A470" s="79" t="s">
        <v>1107</v>
      </c>
      <c r="B470" s="23" t="s">
        <v>1158</v>
      </c>
      <c r="C470" s="19" t="s">
        <v>1109</v>
      </c>
      <c r="D470" s="23" t="s">
        <v>1159</v>
      </c>
    </row>
    <row r="471" spans="1:4" ht="16.5" hidden="1">
      <c r="A471" s="79" t="s">
        <v>1107</v>
      </c>
      <c r="B471" s="23" t="s">
        <v>1160</v>
      </c>
      <c r="C471" s="19" t="s">
        <v>1109</v>
      </c>
      <c r="D471" s="23" t="s">
        <v>1161</v>
      </c>
    </row>
    <row r="472" spans="1:4" ht="16.5" hidden="1">
      <c r="A472" s="79" t="s">
        <v>1107</v>
      </c>
      <c r="B472" s="23" t="s">
        <v>1162</v>
      </c>
      <c r="C472" s="19" t="s">
        <v>1109</v>
      </c>
      <c r="D472" s="23" t="s">
        <v>1163</v>
      </c>
    </row>
    <row r="473" spans="1:4" ht="16.5" hidden="1">
      <c r="A473" s="79" t="s">
        <v>1107</v>
      </c>
      <c r="B473" s="23" t="s">
        <v>1164</v>
      </c>
      <c r="C473" s="19" t="s">
        <v>1109</v>
      </c>
      <c r="D473" s="23" t="s">
        <v>1165</v>
      </c>
    </row>
    <row r="474" spans="1:4" ht="16.5" hidden="1">
      <c r="A474" s="79" t="s">
        <v>1107</v>
      </c>
      <c r="B474" s="23" t="s">
        <v>1166</v>
      </c>
      <c r="C474" s="19" t="s">
        <v>1109</v>
      </c>
      <c r="D474" s="23" t="s">
        <v>1167</v>
      </c>
    </row>
    <row r="475" spans="1:4" ht="16.5" hidden="1">
      <c r="A475" s="79" t="s">
        <v>1107</v>
      </c>
      <c r="B475" s="23" t="s">
        <v>1168</v>
      </c>
      <c r="C475" s="19" t="s">
        <v>1109</v>
      </c>
      <c r="D475" s="23" t="s">
        <v>1169</v>
      </c>
    </row>
    <row r="476" spans="1:4" ht="16.5" hidden="1">
      <c r="A476" s="79" t="s">
        <v>1107</v>
      </c>
      <c r="B476" s="23" t="s">
        <v>1170</v>
      </c>
      <c r="C476" s="19" t="s">
        <v>1109</v>
      </c>
      <c r="D476" s="23" t="s">
        <v>1171</v>
      </c>
    </row>
    <row r="477" spans="1:4" ht="16.5" hidden="1">
      <c r="A477" s="79" t="s">
        <v>1107</v>
      </c>
      <c r="B477" s="23" t="s">
        <v>1172</v>
      </c>
      <c r="C477" s="19" t="s">
        <v>1109</v>
      </c>
      <c r="D477" s="23" t="s">
        <v>1173</v>
      </c>
    </row>
    <row r="478" spans="1:4" ht="16.5" hidden="1">
      <c r="A478" s="79" t="s">
        <v>1107</v>
      </c>
      <c r="B478" s="23" t="s">
        <v>1174</v>
      </c>
      <c r="C478" s="19" t="s">
        <v>1109</v>
      </c>
      <c r="D478" s="23" t="s">
        <v>1175</v>
      </c>
    </row>
    <row r="479" spans="1:4" ht="16.5" hidden="1">
      <c r="A479" s="79" t="s">
        <v>1107</v>
      </c>
      <c r="B479" s="23" t="s">
        <v>1176</v>
      </c>
      <c r="C479" s="19" t="s">
        <v>1109</v>
      </c>
      <c r="D479" s="23" t="s">
        <v>1177</v>
      </c>
    </row>
    <row r="480" spans="1:4" ht="16.5" hidden="1">
      <c r="A480" s="79" t="s">
        <v>1107</v>
      </c>
      <c r="B480" s="23" t="s">
        <v>1178</v>
      </c>
      <c r="C480" s="19" t="s">
        <v>1109</v>
      </c>
      <c r="D480" s="23" t="s">
        <v>1179</v>
      </c>
    </row>
    <row r="481" spans="1:4" ht="16.5" hidden="1">
      <c r="A481" s="79" t="s">
        <v>1107</v>
      </c>
      <c r="B481" s="23" t="s">
        <v>1180</v>
      </c>
      <c r="C481" s="19" t="s">
        <v>1109</v>
      </c>
      <c r="D481" s="23" t="s">
        <v>1181</v>
      </c>
    </row>
    <row r="482" spans="1:4" ht="16.5" hidden="1">
      <c r="A482" s="79" t="s">
        <v>1107</v>
      </c>
      <c r="B482" s="23" t="s">
        <v>1182</v>
      </c>
      <c r="C482" s="19" t="s">
        <v>1109</v>
      </c>
      <c r="D482" s="23" t="s">
        <v>1183</v>
      </c>
    </row>
    <row r="483" spans="1:4" ht="16.5" hidden="1">
      <c r="A483" s="79" t="s">
        <v>1107</v>
      </c>
      <c r="B483" s="23" t="s">
        <v>1184</v>
      </c>
      <c r="C483" s="19" t="s">
        <v>1109</v>
      </c>
      <c r="D483" s="23" t="s">
        <v>1185</v>
      </c>
    </row>
    <row r="484" spans="1:4" ht="16.5" hidden="1">
      <c r="A484" s="79" t="s">
        <v>1107</v>
      </c>
      <c r="B484" s="23" t="s">
        <v>1186</v>
      </c>
      <c r="C484" s="19" t="s">
        <v>1109</v>
      </c>
      <c r="D484" s="23" t="s">
        <v>1187</v>
      </c>
    </row>
    <row r="485" spans="1:4" ht="16.5" hidden="1">
      <c r="A485" s="79" t="s">
        <v>1107</v>
      </c>
      <c r="B485" s="23" t="s">
        <v>1188</v>
      </c>
      <c r="C485" s="19" t="s">
        <v>1109</v>
      </c>
      <c r="D485" s="23" t="s">
        <v>1189</v>
      </c>
    </row>
    <row r="486" spans="1:4" ht="16.5" hidden="1">
      <c r="A486" s="79" t="s">
        <v>1107</v>
      </c>
      <c r="B486" s="23" t="s">
        <v>1190</v>
      </c>
      <c r="C486" s="19" t="s">
        <v>1109</v>
      </c>
      <c r="D486" s="23" t="s">
        <v>1191</v>
      </c>
    </row>
    <row r="487" spans="1:4" ht="16.5" hidden="1">
      <c r="A487" s="79" t="s">
        <v>1107</v>
      </c>
      <c r="B487" s="23" t="s">
        <v>1192</v>
      </c>
      <c r="C487" s="19" t="s">
        <v>1109</v>
      </c>
      <c r="D487" s="23" t="s">
        <v>1193</v>
      </c>
    </row>
    <row r="488" spans="1:4" ht="16.5" hidden="1">
      <c r="A488" s="79" t="s">
        <v>1107</v>
      </c>
      <c r="B488" s="23" t="s">
        <v>1194</v>
      </c>
      <c r="C488" s="19" t="s">
        <v>1109</v>
      </c>
      <c r="D488" s="23" t="s">
        <v>1195</v>
      </c>
    </row>
    <row r="489" spans="1:4" ht="16.5" hidden="1">
      <c r="A489" s="79" t="s">
        <v>1107</v>
      </c>
      <c r="B489" s="23" t="s">
        <v>1196</v>
      </c>
      <c r="C489" s="19" t="s">
        <v>1109</v>
      </c>
      <c r="D489" s="23" t="s">
        <v>1197</v>
      </c>
    </row>
  </sheetData>
  <autoFilter ref="A1:F489" xr:uid="{3050F8E0-2EF3-4399-A404-44AA65E8A213}">
    <filterColumn colId="0">
      <filters>
        <filter val="evn_geschaeftspartnertypcode"/>
      </filters>
    </filterColumn>
  </autoFilter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D049-1AF6-4B54-AEFA-DC6E51CA0730}">
  <dimension ref="A1:W60"/>
  <sheetViews>
    <sheetView zoomScale="130" zoomScaleNormal="130" workbookViewId="0">
      <pane ySplit="2" topLeftCell="E3" activePane="bottomLeft" state="frozen"/>
      <selection pane="bottomLeft" activeCell="O22" sqref="O22"/>
    </sheetView>
  </sheetViews>
  <sheetFormatPr defaultColWidth="9" defaultRowHeight="15"/>
  <cols>
    <col min="1" max="1" width="5" style="2" customWidth="1"/>
    <col min="2" max="2" width="6.140625" style="5" customWidth="1"/>
    <col min="3" max="3" width="10.85546875" style="5" customWidth="1"/>
    <col min="4" max="4" width="25.28515625" style="5" customWidth="1"/>
    <col min="5" max="5" width="55.28515625" style="5" customWidth="1"/>
    <col min="6" max="6" width="6.28515625" style="5" customWidth="1"/>
    <col min="7" max="7" width="39.85546875" style="5" customWidth="1"/>
    <col min="8" max="8" width="39.42578125" style="5" bestFit="1" customWidth="1"/>
    <col min="9" max="9" width="18.85546875" style="5" customWidth="1"/>
    <col min="10" max="10" width="13.42578125" style="5" customWidth="1"/>
    <col min="11" max="11" width="23.7109375" style="5" customWidth="1"/>
    <col min="12" max="12" width="8.28515625" style="5" customWidth="1"/>
    <col min="13" max="13" width="17.42578125" customWidth="1"/>
    <col min="14" max="14" width="20.7109375" customWidth="1"/>
    <col min="15" max="15" width="48.28515625" customWidth="1"/>
    <col min="16" max="16" width="81.7109375" customWidth="1"/>
    <col min="17" max="17" width="29" bestFit="1" customWidth="1"/>
    <col min="18" max="18" width="17.140625" bestFit="1" customWidth="1"/>
  </cols>
  <sheetData>
    <row r="1" spans="1:23" ht="62.25" customHeight="1">
      <c r="A1" s="83" t="s">
        <v>1198</v>
      </c>
      <c r="B1" s="84"/>
      <c r="C1" s="84"/>
      <c r="D1" s="84"/>
      <c r="E1" s="84"/>
      <c r="F1" s="84"/>
      <c r="G1" s="84"/>
      <c r="H1" s="13"/>
      <c r="I1" s="13"/>
      <c r="J1" s="13" t="s">
        <v>39</v>
      </c>
      <c r="K1" s="13"/>
      <c r="L1" s="13"/>
      <c r="M1" s="1"/>
      <c r="N1" s="3"/>
      <c r="O1" s="3"/>
      <c r="P1" s="3"/>
      <c r="Q1" s="13"/>
      <c r="R1" s="13"/>
      <c r="S1" s="13" t="s">
        <v>39</v>
      </c>
      <c r="T1" s="13"/>
      <c r="U1" s="13"/>
      <c r="V1" s="1"/>
      <c r="W1" s="3"/>
    </row>
    <row r="2" spans="1:23" s="5" customFormat="1" ht="76.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</v>
      </c>
      <c r="H2" s="4" t="s">
        <v>46</v>
      </c>
      <c r="I2" s="12" t="s">
        <v>47</v>
      </c>
      <c r="J2" s="12" t="s">
        <v>48</v>
      </c>
      <c r="K2" s="4" t="s">
        <v>49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46</v>
      </c>
      <c r="R2" s="12" t="s">
        <v>47</v>
      </c>
      <c r="S2" s="12" t="s">
        <v>48</v>
      </c>
      <c r="T2" s="4" t="s">
        <v>49</v>
      </c>
      <c r="U2" s="4" t="s">
        <v>50</v>
      </c>
      <c r="V2" s="4" t="s">
        <v>51</v>
      </c>
      <c r="W2" s="4" t="s">
        <v>52</v>
      </c>
    </row>
    <row r="3" spans="1:23" s="5" customFormat="1">
      <c r="A3" s="14">
        <v>1</v>
      </c>
      <c r="B3" s="15"/>
      <c r="C3" s="16" t="str">
        <f t="shared" ref="C3" si="0">IF(B3="person","p_",(IF(B3="organisation","o_",(IF(B3="person/organisation","po_","")))))</f>
        <v/>
      </c>
      <c r="D3" s="16"/>
      <c r="E3" s="16" t="str">
        <f>IF(ISBLANK(F3),G3,IF(ISBLANK(M3),_xlfn.CONCAT($J$1,C3,G3,$J$1,": ",,$J$1,D3,$J$1,IF(LEFT(#REF!,1)="}","",",")),_xlfn.CONCAT($J$1,C3,G3,$J$1,": ",,,D3,,IF(LEFT(#REF!,1)="}","",","))))</f>
        <v>{</v>
      </c>
      <c r="F3" s="15"/>
      <c r="G3" s="17" t="s">
        <v>55</v>
      </c>
      <c r="H3" s="15"/>
      <c r="I3" s="18"/>
      <c r="J3" s="18"/>
      <c r="K3" s="15"/>
      <c r="L3" s="15"/>
      <c r="M3" s="15"/>
      <c r="N3" s="15"/>
      <c r="O3" s="15"/>
      <c r="P3" s="15"/>
      <c r="Q3" s="15"/>
      <c r="R3" s="18"/>
      <c r="S3" s="18"/>
      <c r="T3" s="15"/>
      <c r="U3" s="15"/>
      <c r="V3" s="15"/>
      <c r="W3" s="15"/>
    </row>
    <row r="4" spans="1:23" s="5" customFormat="1">
      <c r="A4" s="14"/>
      <c r="B4" s="15"/>
      <c r="C4" s="16"/>
      <c r="D4" s="44" t="s">
        <v>56</v>
      </c>
      <c r="E4" s="16" t="str">
        <f>IF(ISBLANK(F4),G4,IF(ISBLANK(M4),_xlfn.CONCAT($J$1,C4,G4,$J$1,": ",,$J$1,D4,$J$1,IF(LEFT(E6,1)="}","",",")),_xlfn.CONCAT($J$1,C4,G4,$J$1,": ",,,D4,,IF(LEFT(E6,1)="}","",","))))</f>
        <v>"eventTimeStamp": "2025-03-02T09:45:14.509Z",</v>
      </c>
      <c r="F4" s="57" t="s">
        <v>57</v>
      </c>
      <c r="G4" s="17" t="s">
        <v>58</v>
      </c>
      <c r="H4" s="15"/>
      <c r="I4" s="18"/>
      <c r="J4" s="18"/>
      <c r="K4" s="15"/>
      <c r="L4" s="15"/>
      <c r="M4" s="15"/>
      <c r="N4" s="15"/>
      <c r="O4" s="15"/>
      <c r="P4" s="54" t="s">
        <v>1199</v>
      </c>
      <c r="Q4" s="15"/>
      <c r="R4" s="18"/>
      <c r="S4" s="18"/>
      <c r="T4" s="15"/>
      <c r="U4" s="15"/>
      <c r="V4" s="15"/>
      <c r="W4" s="15"/>
    </row>
    <row r="5" spans="1:23">
      <c r="A5" s="14">
        <v>2</v>
      </c>
      <c r="B5" s="16"/>
      <c r="D5" s="33"/>
      <c r="E5" s="16" t="str">
        <f>IF(ISBLANK(F5),G5,IF(ISBLANK(M5),_xlfn.CONCAT($J$1,C5,G5,$J$1,": ",,$J$1,D5,$J$1,IF(LEFT(E7,1)="}","",",")),_xlfn.CONCAT($J$1,C5,G5,$J$1,": ",,,D5,,IF(LEFT(E7,1)="}","",","))))</f>
        <v>"businessCustomerCRMGuid": "",</v>
      </c>
      <c r="F5" s="5" t="s">
        <v>57</v>
      </c>
      <c r="G5" s="19" t="s">
        <v>63</v>
      </c>
      <c r="H5" s="19"/>
      <c r="I5" s="19" t="s">
        <v>64</v>
      </c>
      <c r="J5" s="19" t="s">
        <v>65</v>
      </c>
      <c r="K5" s="19">
        <v>60</v>
      </c>
      <c r="O5" t="s">
        <v>67</v>
      </c>
      <c r="Q5" s="19"/>
      <c r="R5" s="19" t="s">
        <v>64</v>
      </c>
      <c r="S5" s="19" t="s">
        <v>65</v>
      </c>
      <c r="T5" s="19">
        <v>60</v>
      </c>
      <c r="U5" s="5"/>
    </row>
    <row r="6" spans="1:23">
      <c r="A6" s="14">
        <v>3</v>
      </c>
      <c r="B6" s="16"/>
      <c r="C6" s="16" t="str">
        <f>IF(B5="person","p_",(IF(B5="organisation","o_",(IF(B5="person/organisation","po_","")))))</f>
        <v/>
      </c>
      <c r="D6" s="33"/>
      <c r="E6" s="16" t="str">
        <f t="shared" ref="E6:E60" si="1">IF(ISBLANK(F6),G6,IF(ISBLANK(M6),_xlfn.CONCAT($J$1,C6,G6,$J$1,": ",,$J$1,D6,$J$1,IF(LEFT(E8,1)="}","",",")),_xlfn.CONCAT($J$1,C6,G6,$J$1,": ",,,D6,,IF(LEFT(E8,1)="}","",","))))</f>
        <v>"businessCustomerId": "",</v>
      </c>
      <c r="F6" s="5" t="s">
        <v>62</v>
      </c>
      <c r="G6" s="19" t="s">
        <v>68</v>
      </c>
      <c r="H6" s="19" t="s">
        <v>69</v>
      </c>
      <c r="I6" s="19" t="s">
        <v>69</v>
      </c>
      <c r="J6" s="19" t="s">
        <v>65</v>
      </c>
      <c r="K6" s="19">
        <v>10</v>
      </c>
      <c r="L6" s="19"/>
      <c r="O6" s="6" t="s">
        <v>71</v>
      </c>
      <c r="Q6" s="19" t="s">
        <v>69</v>
      </c>
      <c r="R6" s="19" t="s">
        <v>69</v>
      </c>
      <c r="S6" s="19" t="s">
        <v>65</v>
      </c>
      <c r="T6" s="19">
        <v>10</v>
      </c>
      <c r="U6" s="19"/>
    </row>
    <row r="7" spans="1:23">
      <c r="A7" s="14">
        <v>4</v>
      </c>
      <c r="B7" s="16"/>
      <c r="C7" s="16"/>
      <c r="D7" s="33"/>
      <c r="E7" s="16" t="str">
        <f t="shared" si="1"/>
        <v>"authorizationGroup": "",</v>
      </c>
      <c r="F7" s="5" t="s">
        <v>62</v>
      </c>
      <c r="G7" s="19" t="s">
        <v>72</v>
      </c>
      <c r="H7" s="19" t="s">
        <v>73</v>
      </c>
      <c r="I7" s="19" t="s">
        <v>73</v>
      </c>
      <c r="J7" s="19" t="s">
        <v>65</v>
      </c>
      <c r="K7" s="19">
        <v>4</v>
      </c>
      <c r="L7" s="19" t="s">
        <v>74</v>
      </c>
      <c r="N7" t="s">
        <v>75</v>
      </c>
      <c r="O7" s="6" t="s">
        <v>76</v>
      </c>
      <c r="Q7" s="19" t="s">
        <v>73</v>
      </c>
      <c r="R7" s="19" t="s">
        <v>73</v>
      </c>
      <c r="S7" s="19" t="s">
        <v>65</v>
      </c>
      <c r="T7" s="19">
        <v>4</v>
      </c>
      <c r="U7" s="19" t="s">
        <v>74</v>
      </c>
      <c r="W7" t="s">
        <v>75</v>
      </c>
    </row>
    <row r="8" spans="1:23">
      <c r="A8" s="14">
        <v>5</v>
      </c>
      <c r="B8" s="16"/>
      <c r="C8" s="16"/>
      <c r="D8" s="16"/>
      <c r="E8" s="16" t="str">
        <f>IF(ISBLANK(F8),G8,IF(ISBLANK(M8),_xlfn.CONCAT($J$1,C8,G8,$J$1,": ",,$J$1,D8,$J$1,IF(LEFT(E11,1)="}","",",")),_xlfn.CONCAT($J$1,C8,G8,$J$1,": ",,,D8,,IF(LEFT(E11,1)="}","",","))))</f>
        <v>"businessCustomerCategory": "",</v>
      </c>
      <c r="F8" s="5" t="s">
        <v>62</v>
      </c>
      <c r="G8" s="19" t="s">
        <v>81</v>
      </c>
      <c r="H8" s="19" t="s">
        <v>78</v>
      </c>
      <c r="I8" s="19" t="s">
        <v>78</v>
      </c>
      <c r="J8" s="19" t="s">
        <v>65</v>
      </c>
      <c r="K8" s="19">
        <v>1</v>
      </c>
      <c r="L8" s="19" t="s">
        <v>74</v>
      </c>
      <c r="N8" t="s">
        <v>75</v>
      </c>
      <c r="O8" t="s">
        <v>79</v>
      </c>
      <c r="Q8" s="19" t="s">
        <v>78</v>
      </c>
      <c r="R8" s="19" t="s">
        <v>78</v>
      </c>
      <c r="S8" s="19" t="s">
        <v>65</v>
      </c>
      <c r="T8" s="19">
        <v>1</v>
      </c>
      <c r="U8" s="19" t="s">
        <v>74</v>
      </c>
      <c r="W8" t="s">
        <v>75</v>
      </c>
    </row>
    <row r="9" spans="1:23">
      <c r="A9" s="14">
        <v>6</v>
      </c>
      <c r="B9" s="16"/>
      <c r="C9" s="16" t="str">
        <f>IF(B8="person","p_",(IF(B8="organisation","o_",(IF(B8="person/organisation","po_","")))))</f>
        <v/>
      </c>
      <c r="D9" s="36"/>
      <c r="E9" s="16" t="str">
        <f>IF(ISBLANK(F9),G9,IF(ISBLANK(M9),_xlfn.CONCAT($J$1,C9,G9,$J$1,": ",,$J$1,D9,$J$1,IF(LEFT(E12,1)="}","",",")),_xlfn.CONCAT($J$1,C9,G9,$J$1,": ",,,D9,,IF(LEFT(E12,1)="}","",","))))</f>
        <v>"businessCustomerType": "",</v>
      </c>
      <c r="F9" s="5" t="s">
        <v>62</v>
      </c>
      <c r="G9" s="19" t="s">
        <v>77</v>
      </c>
      <c r="H9" s="19" t="s">
        <v>82</v>
      </c>
      <c r="I9" s="19" t="s">
        <v>82</v>
      </c>
      <c r="J9" s="19" t="s">
        <v>65</v>
      </c>
      <c r="K9" s="19">
        <v>4</v>
      </c>
      <c r="L9" s="19" t="s">
        <v>74</v>
      </c>
      <c r="N9" t="s">
        <v>75</v>
      </c>
      <c r="O9" t="s">
        <v>83</v>
      </c>
      <c r="Q9" s="19" t="s">
        <v>82</v>
      </c>
      <c r="R9" s="19" t="s">
        <v>82</v>
      </c>
      <c r="S9" s="19" t="s">
        <v>65</v>
      </c>
      <c r="T9" s="19">
        <v>4</v>
      </c>
      <c r="U9" s="19" t="s">
        <v>74</v>
      </c>
      <c r="W9" t="s">
        <v>75</v>
      </c>
    </row>
    <row r="10" spans="1:23" s="42" customFormat="1">
      <c r="A10" s="37"/>
      <c r="B10" s="38"/>
      <c r="C10" s="38"/>
      <c r="D10" s="39"/>
      <c r="E10" s="38"/>
      <c r="F10" s="40"/>
      <c r="G10" s="41" t="s">
        <v>84</v>
      </c>
      <c r="H10" s="41"/>
      <c r="I10" s="41"/>
      <c r="J10" s="41"/>
      <c r="K10" s="41"/>
      <c r="L10" s="41"/>
      <c r="Q10" s="41"/>
      <c r="R10" s="41"/>
      <c r="S10" s="41"/>
      <c r="T10" s="41"/>
      <c r="U10" s="41"/>
    </row>
    <row r="11" spans="1:23">
      <c r="A11" s="14">
        <v>7</v>
      </c>
      <c r="B11" s="16"/>
      <c r="C11" s="16" t="str">
        <f>IF(B9="person","p_",(IF(B9="organisation","o_",(IF(B9="person/organisation","po_","")))))</f>
        <v/>
      </c>
      <c r="D11" s="16"/>
      <c r="E11" s="16" t="str">
        <f t="shared" si="1"/>
        <v>"salutation": "",</v>
      </c>
      <c r="F11" s="5" t="s">
        <v>62</v>
      </c>
      <c r="G11" s="19" t="s">
        <v>85</v>
      </c>
      <c r="H11" s="19" t="s">
        <v>86</v>
      </c>
      <c r="I11" s="19" t="s">
        <v>86</v>
      </c>
      <c r="J11" s="19" t="s">
        <v>65</v>
      </c>
      <c r="K11" s="19">
        <v>4</v>
      </c>
      <c r="L11" s="19" t="s">
        <v>74</v>
      </c>
      <c r="N11" t="s">
        <v>75</v>
      </c>
      <c r="O11" t="s">
        <v>88</v>
      </c>
      <c r="Q11" s="19" t="s">
        <v>86</v>
      </c>
      <c r="R11" s="19" t="s">
        <v>86</v>
      </c>
      <c r="S11" s="19" t="s">
        <v>65</v>
      </c>
      <c r="T11" s="19">
        <v>4</v>
      </c>
      <c r="U11" s="19" t="s">
        <v>74</v>
      </c>
      <c r="W11" t="s">
        <v>75</v>
      </c>
    </row>
    <row r="12" spans="1:23">
      <c r="A12" s="14">
        <v>8</v>
      </c>
      <c r="B12" s="16"/>
      <c r="C12" s="16" t="str">
        <f>IF(B11="person","p_",(IF(B11="organisation","o_",(IF(B11="person/organisation","po_","")))))</f>
        <v/>
      </c>
      <c r="D12" s="16"/>
      <c r="E12" s="16" t="str">
        <f t="shared" si="1"/>
        <v>"titlePre": "",</v>
      </c>
      <c r="F12" s="5" t="s">
        <v>62</v>
      </c>
      <c r="G12" s="19" t="s">
        <v>89</v>
      </c>
      <c r="H12" s="19" t="s">
        <v>90</v>
      </c>
      <c r="I12" s="19" t="s">
        <v>90</v>
      </c>
      <c r="J12" s="19" t="s">
        <v>87</v>
      </c>
      <c r="K12" s="19"/>
      <c r="L12" s="19" t="s">
        <v>74</v>
      </c>
      <c r="N12" t="s">
        <v>75</v>
      </c>
      <c r="O12" t="s">
        <v>91</v>
      </c>
      <c r="Q12" s="19" t="s">
        <v>90</v>
      </c>
      <c r="R12" s="19" t="s">
        <v>90</v>
      </c>
      <c r="S12" s="19" t="s">
        <v>87</v>
      </c>
      <c r="T12" s="19"/>
      <c r="U12" s="19" t="s">
        <v>74</v>
      </c>
      <c r="W12" t="s">
        <v>75</v>
      </c>
    </row>
    <row r="13" spans="1:23">
      <c r="A13" s="14"/>
      <c r="B13" s="16"/>
      <c r="C13" s="16"/>
      <c r="D13" s="16"/>
      <c r="E13" s="16" t="str">
        <f t="shared" si="1"/>
        <v>"titlePost": "",</v>
      </c>
      <c r="F13" s="5" t="s">
        <v>62</v>
      </c>
      <c r="G13" s="19" t="s">
        <v>92</v>
      </c>
      <c r="H13" s="19" t="s">
        <v>93</v>
      </c>
      <c r="I13" s="19" t="s">
        <v>93</v>
      </c>
      <c r="J13" s="19" t="s">
        <v>87</v>
      </c>
      <c r="K13" s="19"/>
      <c r="L13" s="19" t="s">
        <v>74</v>
      </c>
      <c r="N13" t="s">
        <v>75</v>
      </c>
      <c r="O13" s="44" t="s">
        <v>94</v>
      </c>
      <c r="Q13" s="19" t="s">
        <v>93</v>
      </c>
      <c r="R13" s="19" t="s">
        <v>93</v>
      </c>
      <c r="S13" s="19" t="s">
        <v>87</v>
      </c>
      <c r="T13" s="19"/>
      <c r="U13" s="19" t="s">
        <v>74</v>
      </c>
      <c r="W13" t="s">
        <v>75</v>
      </c>
    </row>
    <row r="14" spans="1:23">
      <c r="A14" s="14"/>
      <c r="B14" s="16"/>
      <c r="C14" s="16"/>
      <c r="D14" s="36"/>
      <c r="E14" s="16" t="str">
        <f>IF(ISBLANK(F14),G14,IF(ISBLANK(O14),_xlfn.CONCAT($J$1,C14,G14,$J$1,": ",,$J$1,D14,$J$1,IF(LEFT(E16,1)="}","",",")),_xlfn.CONCAT($J$1,C14,G14,$J$1,": ",,,D14,,IF(LEFT(E16,1)="}","",","))))</f>
        <v>"firstName": ,</v>
      </c>
      <c r="F14" s="5" t="s">
        <v>62</v>
      </c>
      <c r="G14" s="19" t="s">
        <v>95</v>
      </c>
      <c r="H14" s="19" t="s">
        <v>96</v>
      </c>
      <c r="I14" s="19" t="s">
        <v>96</v>
      </c>
      <c r="J14" s="19" t="s">
        <v>65</v>
      </c>
      <c r="K14" s="19">
        <v>40</v>
      </c>
      <c r="O14" t="s">
        <v>97</v>
      </c>
      <c r="Q14" s="19" t="s">
        <v>96</v>
      </c>
      <c r="R14" s="19" t="s">
        <v>96</v>
      </c>
      <c r="S14" s="19" t="s">
        <v>65</v>
      </c>
      <c r="T14" s="19">
        <v>40</v>
      </c>
      <c r="U14" s="5"/>
    </row>
    <row r="15" spans="1:23">
      <c r="A15" s="14"/>
      <c r="B15" s="16"/>
      <c r="C15" s="16"/>
      <c r="D15" s="36"/>
      <c r="E15" s="16" t="str">
        <f>IF(ISBLANK(F15),G15,IF(ISBLANK(O15),_xlfn.CONCAT($J$1,C15,G15,$J$1,": ",,$J$1,D15,$J$1,IF(LEFT(E17,1)="}","",",")),_xlfn.CONCAT($J$1,C15,G15,$J$1,": ",,,D15,,IF(LEFT(E17,1)="}","",","))))</f>
        <v>"lastName": ,</v>
      </c>
      <c r="F15" s="5" t="s">
        <v>62</v>
      </c>
      <c r="G15" s="19" t="s">
        <v>98</v>
      </c>
      <c r="H15" s="19" t="s">
        <v>99</v>
      </c>
      <c r="I15" s="19" t="s">
        <v>99</v>
      </c>
      <c r="J15" s="19" t="s">
        <v>65</v>
      </c>
      <c r="K15" s="19">
        <v>40</v>
      </c>
      <c r="O15" t="s">
        <v>100</v>
      </c>
      <c r="Q15" s="19" t="s">
        <v>99</v>
      </c>
      <c r="R15" s="19" t="s">
        <v>99</v>
      </c>
      <c r="S15" s="19" t="s">
        <v>65</v>
      </c>
      <c r="T15" s="19">
        <v>40</v>
      </c>
      <c r="U15" s="5"/>
    </row>
    <row r="16" spans="1:23">
      <c r="A16" s="14"/>
      <c r="B16" s="16"/>
      <c r="C16" s="16"/>
      <c r="D16" s="16"/>
      <c r="E16" s="16" t="str">
        <f>IF(ISBLANK(F16),G16,IF(ISBLANK(O16),_xlfn.CONCAT($J$1,C16,G16,$J$1,": ",,$J$1,D16,$J$1,IF(LEFT(E18,1)="}","",",")),_xlfn.CONCAT($J$1,C16,G16,$J$1,": ",,,D16,,IF(LEFT(E18,1)="}","",","))))</f>
        <v>"organisationName1": ,</v>
      </c>
      <c r="F16" s="5" t="s">
        <v>62</v>
      </c>
      <c r="G16" s="19" t="s">
        <v>101</v>
      </c>
      <c r="H16" s="19" t="s">
        <v>102</v>
      </c>
      <c r="I16" s="19" t="s">
        <v>102</v>
      </c>
      <c r="J16" s="19" t="s">
        <v>65</v>
      </c>
      <c r="K16" s="19">
        <v>40</v>
      </c>
      <c r="O16" t="s">
        <v>103</v>
      </c>
      <c r="Q16" s="19" t="s">
        <v>102</v>
      </c>
      <c r="R16" s="19" t="s">
        <v>102</v>
      </c>
      <c r="S16" s="19" t="s">
        <v>65</v>
      </c>
      <c r="T16" s="19">
        <v>40</v>
      </c>
      <c r="U16" s="5"/>
    </row>
    <row r="17" spans="1:21">
      <c r="A17" s="14"/>
      <c r="B17" s="16"/>
      <c r="C17" s="16"/>
      <c r="D17" s="16"/>
      <c r="E17" s="16" t="str">
        <f>IF(ISBLANK(F17),G17,IF(ISBLANK(O17),_xlfn.CONCAT($J$1,C17,G17,$J$1,": ",,$J$1,D17,$J$1,IF(LEFT(E19,1)="}","",",")),_xlfn.CONCAT($J$1,C17,G17,$J$1,": ",,,D17,,IF(LEFT(E19,1)="}","",","))))</f>
        <v>"organisationName2": ,</v>
      </c>
      <c r="F17" s="5" t="s">
        <v>62</v>
      </c>
      <c r="G17" s="19" t="s">
        <v>104</v>
      </c>
      <c r="H17" s="19" t="s">
        <v>105</v>
      </c>
      <c r="I17" s="19" t="s">
        <v>105</v>
      </c>
      <c r="J17" s="19" t="s">
        <v>65</v>
      </c>
      <c r="K17" s="19">
        <v>40</v>
      </c>
      <c r="O17" t="s">
        <v>106</v>
      </c>
      <c r="Q17" s="19" t="s">
        <v>105</v>
      </c>
      <c r="R17" s="19" t="s">
        <v>105</v>
      </c>
      <c r="S17" s="19" t="s">
        <v>65</v>
      </c>
      <c r="T17" s="19">
        <v>40</v>
      </c>
      <c r="U17" s="5"/>
    </row>
    <row r="18" spans="1:21">
      <c r="A18" s="14"/>
      <c r="B18" s="16"/>
      <c r="C18" s="16"/>
      <c r="D18" s="16"/>
      <c r="E18" s="16" t="str">
        <f>IF(ISBLANK(F18),G18,IF(ISBLANK(O18),_xlfn.CONCAT($J$1,C18,G18,$J$1,": ",,$J$1,D18,$J$1,IF(LEFT(E20,1)="}","",",")),_xlfn.CONCAT($J$1,C18,G18,$J$1,": ",,,D18,,IF(LEFT(E20,1)="}","",","))))</f>
        <v xml:space="preserve">"organisationName3": </v>
      </c>
      <c r="F18" s="5" t="s">
        <v>62</v>
      </c>
      <c r="G18" s="19" t="s">
        <v>107</v>
      </c>
      <c r="H18" s="19" t="s">
        <v>108</v>
      </c>
      <c r="I18" s="19" t="s">
        <v>108</v>
      </c>
      <c r="J18" s="19" t="s">
        <v>65</v>
      </c>
      <c r="K18" s="19">
        <v>40</v>
      </c>
      <c r="O18" t="s">
        <v>109</v>
      </c>
      <c r="Q18" s="19" t="s">
        <v>108</v>
      </c>
      <c r="R18" s="19" t="s">
        <v>108</v>
      </c>
      <c r="S18" s="19" t="s">
        <v>65</v>
      </c>
      <c r="T18" s="19">
        <v>40</v>
      </c>
      <c r="U18" s="5"/>
    </row>
    <row r="19" spans="1:21">
      <c r="A19" s="14"/>
      <c r="B19" s="16"/>
      <c r="C19" s="16"/>
      <c r="D19" s="16"/>
      <c r="E19" s="16" t="str">
        <f>IF(ISBLANK(F19),G19,IF(ISBLANK(O19),_xlfn.CONCAT($J$1,C19,G19,$J$1,": ",,$J$1,D19,$J$1,IF(LEFT(E21,1)="}","",",")),_xlfn.CONCAT($J$1,C19,G19,$J$1,": ",,,D19,,IF(LEFT(E21,1)="}","",","))))</f>
        <v>"organisationName4": ,</v>
      </c>
      <c r="F19" s="5" t="s">
        <v>62</v>
      </c>
      <c r="G19" s="19" t="s">
        <v>110</v>
      </c>
      <c r="H19" s="19" t="s">
        <v>111</v>
      </c>
      <c r="I19" s="19" t="s">
        <v>111</v>
      </c>
      <c r="J19" s="19" t="s">
        <v>65</v>
      </c>
      <c r="K19" s="19">
        <v>40</v>
      </c>
      <c r="O19" t="s">
        <v>112</v>
      </c>
      <c r="Q19" s="19" t="s">
        <v>111</v>
      </c>
      <c r="R19" s="19" t="s">
        <v>111</v>
      </c>
      <c r="S19" s="19" t="s">
        <v>65</v>
      </c>
      <c r="T19" s="19">
        <v>40</v>
      </c>
      <c r="U19" s="5"/>
    </row>
    <row r="20" spans="1:21">
      <c r="A20" s="14"/>
      <c r="B20" s="16"/>
      <c r="C20" s="16"/>
      <c r="D20" s="16"/>
      <c r="E20" s="16" t="str">
        <f t="shared" si="1"/>
        <v>},</v>
      </c>
      <c r="G20" s="19" t="s">
        <v>113</v>
      </c>
      <c r="H20" s="19"/>
      <c r="I20" s="19"/>
      <c r="J20" s="19"/>
      <c r="K20" s="19"/>
      <c r="Q20" s="19"/>
      <c r="R20" s="19"/>
      <c r="S20" s="19"/>
      <c r="T20" s="19"/>
      <c r="U20" s="5"/>
    </row>
    <row r="21" spans="1:21">
      <c r="A21" s="14"/>
      <c r="B21" s="20"/>
      <c r="C21" s="16"/>
      <c r="D21" s="16"/>
      <c r="E21" s="16" t="str">
        <f t="shared" si="1"/>
        <v>"dateOfBirth": "",</v>
      </c>
      <c r="F21" s="5" t="s">
        <v>62</v>
      </c>
      <c r="G21" s="19" t="s">
        <v>114</v>
      </c>
      <c r="H21" s="19"/>
      <c r="I21" s="19" t="s">
        <v>115</v>
      </c>
      <c r="J21" s="19" t="s">
        <v>116</v>
      </c>
      <c r="K21" s="19"/>
      <c r="O21" t="s">
        <v>118</v>
      </c>
      <c r="Q21" s="19"/>
      <c r="R21" s="19" t="s">
        <v>115</v>
      </c>
      <c r="S21" s="19" t="s">
        <v>116</v>
      </c>
      <c r="T21" s="19"/>
      <c r="U21" s="5"/>
    </row>
    <row r="22" spans="1:21">
      <c r="A22" s="14"/>
      <c r="B22" s="16"/>
      <c r="C22" s="16"/>
      <c r="D22" s="16"/>
      <c r="E22" s="16" t="str">
        <f t="shared" si="1"/>
        <v>"dateOfDeath": "",</v>
      </c>
      <c r="F22" s="5" t="s">
        <v>62</v>
      </c>
      <c r="G22" s="19" t="s">
        <v>119</v>
      </c>
      <c r="H22" s="19"/>
      <c r="I22" s="19" t="s">
        <v>120</v>
      </c>
      <c r="J22" s="19" t="s">
        <v>116</v>
      </c>
      <c r="K22" s="19"/>
      <c r="O22" t="s">
        <v>121</v>
      </c>
      <c r="Q22" s="19"/>
      <c r="R22" s="19" t="s">
        <v>120</v>
      </c>
      <c r="S22" s="19" t="s">
        <v>116</v>
      </c>
      <c r="T22" s="19"/>
      <c r="U22" s="5"/>
    </row>
    <row r="23" spans="1:21">
      <c r="A23" s="14"/>
      <c r="B23" s="16"/>
      <c r="C23" s="16"/>
      <c r="D23" s="16"/>
      <c r="E23" s="16" t="str">
        <f t="shared" si="1"/>
        <v>TaxNumbers":{[</v>
      </c>
      <c r="G23" s="19" t="s">
        <v>1200</v>
      </c>
      <c r="H23" s="19"/>
      <c r="I23" s="19"/>
      <c r="J23" s="19"/>
      <c r="K23" s="19"/>
      <c r="Q23" s="19"/>
      <c r="R23" s="19"/>
      <c r="S23" s="19"/>
      <c r="T23" s="19"/>
      <c r="U23" s="5"/>
    </row>
    <row r="24" spans="1:21">
      <c r="A24" s="14"/>
      <c r="B24" s="16"/>
      <c r="C24" s="16"/>
      <c r="D24" s="16"/>
      <c r="E24" s="16" t="str">
        <f t="shared" si="1"/>
        <v>"taxNumber": "",</v>
      </c>
      <c r="F24" s="5" t="s">
        <v>62</v>
      </c>
      <c r="G24" s="19" t="s">
        <v>122</v>
      </c>
      <c r="H24" s="19"/>
      <c r="I24" s="19" t="s">
        <v>124</v>
      </c>
      <c r="J24" s="19" t="s">
        <v>65</v>
      </c>
      <c r="K24" s="19">
        <v>20</v>
      </c>
      <c r="Q24" s="19"/>
      <c r="R24" s="19" t="s">
        <v>124</v>
      </c>
      <c r="S24" s="19" t="s">
        <v>65</v>
      </c>
      <c r="T24" s="19">
        <v>20</v>
      </c>
      <c r="U24" s="5"/>
    </row>
    <row r="25" spans="1:21">
      <c r="A25" s="14"/>
      <c r="B25" s="16"/>
      <c r="C25" s="16"/>
      <c r="D25" s="16"/>
      <c r="E25" s="16" t="str">
        <f t="shared" si="1"/>
        <v>"taxNumberType": "",</v>
      </c>
      <c r="F25" s="5" t="s">
        <v>62</v>
      </c>
      <c r="G25" s="19" t="s">
        <v>127</v>
      </c>
      <c r="I25" s="19" t="s">
        <v>129</v>
      </c>
      <c r="J25" s="19" t="s">
        <v>65</v>
      </c>
      <c r="K25" s="19">
        <v>4</v>
      </c>
      <c r="Q25" s="5"/>
      <c r="R25" s="19" t="s">
        <v>129</v>
      </c>
      <c r="S25" s="19" t="s">
        <v>65</v>
      </c>
      <c r="T25" s="19">
        <v>4</v>
      </c>
      <c r="U25" s="5"/>
    </row>
    <row r="26" spans="1:21">
      <c r="A26" s="14"/>
      <c r="B26" s="16"/>
      <c r="C26" s="16"/>
      <c r="D26" s="16"/>
      <c r="E26" s="16" t="str">
        <f t="shared" si="1"/>
        <v>]},</v>
      </c>
      <c r="G26" s="19" t="s">
        <v>1201</v>
      </c>
      <c r="I26" s="19"/>
      <c r="J26" s="19"/>
      <c r="K26" s="19"/>
      <c r="Q26" s="5"/>
      <c r="R26" s="19"/>
      <c r="S26" s="19"/>
      <c r="T26" s="19"/>
      <c r="U26" s="5"/>
    </row>
    <row r="27" spans="1:21">
      <c r="A27" s="14"/>
      <c r="B27" s="16"/>
      <c r="C27" s="16"/>
      <c r="D27" s="16"/>
      <c r="E27" s="16" t="str">
        <f t="shared" si="1"/>
        <v>"orgLiquidationDate": "",</v>
      </c>
      <c r="F27" s="5" t="s">
        <v>62</v>
      </c>
      <c r="G27" s="19" t="s">
        <v>131</v>
      </c>
      <c r="H27" s="19"/>
      <c r="I27" s="19" t="s">
        <v>132</v>
      </c>
      <c r="J27" s="19" t="s">
        <v>65</v>
      </c>
      <c r="K27" s="19">
        <v>10</v>
      </c>
      <c r="O27" s="44" t="s">
        <v>133</v>
      </c>
      <c r="Q27" s="19"/>
      <c r="R27" s="19" t="s">
        <v>132</v>
      </c>
      <c r="S27" s="19" t="s">
        <v>65</v>
      </c>
      <c r="T27" s="19">
        <v>10</v>
      </c>
      <c r="U27" s="5"/>
    </row>
    <row r="28" spans="1:21">
      <c r="A28" s="14"/>
      <c r="B28" s="16"/>
      <c r="C28" s="16"/>
      <c r="D28" s="16"/>
      <c r="E28" s="16" t="str">
        <f t="shared" si="1"/>
        <v>"agriculturalBusinessNumber": "",</v>
      </c>
      <c r="F28" s="5" t="s">
        <v>62</v>
      </c>
      <c r="G28" s="19" t="s">
        <v>1202</v>
      </c>
      <c r="H28" s="19" t="s">
        <v>1203</v>
      </c>
      <c r="I28" s="19" t="s">
        <v>136</v>
      </c>
      <c r="J28" s="19" t="s">
        <v>65</v>
      </c>
      <c r="K28" s="19" t="s">
        <v>137</v>
      </c>
      <c r="O28" t="s">
        <v>1204</v>
      </c>
      <c r="Q28" s="19" t="s">
        <v>1203</v>
      </c>
      <c r="R28" s="19" t="s">
        <v>136</v>
      </c>
      <c r="S28" s="19" t="s">
        <v>65</v>
      </c>
      <c r="T28" s="19" t="s">
        <v>137</v>
      </c>
      <c r="U28" s="5"/>
    </row>
    <row r="29" spans="1:21">
      <c r="A29" s="14"/>
      <c r="B29" s="20"/>
      <c r="C29" s="16"/>
      <c r="D29" s="16"/>
      <c r="E29" s="16" t="str">
        <f t="shared" si="1"/>
        <v>"gln": "",</v>
      </c>
      <c r="F29" s="5" t="s">
        <v>62</v>
      </c>
      <c r="G29" s="19" t="s">
        <v>1205</v>
      </c>
      <c r="H29" s="19" t="s">
        <v>1203</v>
      </c>
      <c r="I29" s="19" t="s">
        <v>136</v>
      </c>
      <c r="J29" s="19" t="s">
        <v>65</v>
      </c>
      <c r="K29" s="19" t="s">
        <v>137</v>
      </c>
      <c r="O29" s="44" t="s">
        <v>1206</v>
      </c>
      <c r="Q29" s="19" t="s">
        <v>1203</v>
      </c>
      <c r="R29" s="19" t="s">
        <v>136</v>
      </c>
      <c r="S29" s="19" t="s">
        <v>65</v>
      </c>
      <c r="T29" s="19" t="s">
        <v>137</v>
      </c>
      <c r="U29" s="5"/>
    </row>
    <row r="30" spans="1:21">
      <c r="A30" s="14"/>
      <c r="B30" s="16"/>
      <c r="C30" s="16"/>
      <c r="D30" s="21"/>
      <c r="E30" s="16" t="str">
        <f t="shared" si="1"/>
        <v>"companyRegisterNumber": "",</v>
      </c>
      <c r="F30" s="5" t="s">
        <v>62</v>
      </c>
      <c r="G30" s="19" t="s">
        <v>134</v>
      </c>
      <c r="H30" s="19" t="s">
        <v>1203</v>
      </c>
      <c r="I30" s="19" t="s">
        <v>136</v>
      </c>
      <c r="J30" s="19" t="s">
        <v>65</v>
      </c>
      <c r="K30" s="19" t="s">
        <v>137</v>
      </c>
      <c r="O30" s="44" t="s">
        <v>138</v>
      </c>
      <c r="Q30" s="19" t="s">
        <v>1203</v>
      </c>
      <c r="R30" s="19" t="s">
        <v>136</v>
      </c>
      <c r="S30" s="19" t="s">
        <v>65</v>
      </c>
      <c r="T30" s="19" t="s">
        <v>137</v>
      </c>
      <c r="U30" s="5"/>
    </row>
    <row r="31" spans="1:21">
      <c r="A31" s="14"/>
      <c r="B31" s="16"/>
      <c r="C31" s="16"/>
      <c r="D31" s="22"/>
      <c r="E31" s="16" t="str">
        <f t="shared" si="1"/>
        <v>"classification": "",</v>
      </c>
      <c r="F31" s="5" t="s">
        <v>62</v>
      </c>
      <c r="G31" s="19" t="s">
        <v>139</v>
      </c>
      <c r="H31" s="19"/>
      <c r="I31" s="19" t="s">
        <v>140</v>
      </c>
      <c r="J31" s="19" t="s">
        <v>65</v>
      </c>
      <c r="K31" s="19">
        <v>4</v>
      </c>
      <c r="O31" t="s">
        <v>1207</v>
      </c>
      <c r="Q31" s="19"/>
      <c r="R31" s="19" t="s">
        <v>140</v>
      </c>
      <c r="S31" s="19" t="s">
        <v>65</v>
      </c>
      <c r="T31" s="19">
        <v>4</v>
      </c>
      <c r="U31" s="5"/>
    </row>
    <row r="32" spans="1:21">
      <c r="A32" s="14"/>
      <c r="B32" s="16"/>
      <c r="C32" s="16"/>
      <c r="D32" s="16"/>
      <c r="E32" s="16" t="str">
        <f t="shared" si="1"/>
        <v>"personnelNumber": "",</v>
      </c>
      <c r="F32" s="5" t="s">
        <v>62</v>
      </c>
      <c r="G32" s="19" t="s">
        <v>1208</v>
      </c>
      <c r="H32" s="19" t="s">
        <v>1203</v>
      </c>
      <c r="I32" s="19" t="s">
        <v>136</v>
      </c>
      <c r="J32" s="19" t="s">
        <v>65</v>
      </c>
      <c r="K32" s="19" t="s">
        <v>137</v>
      </c>
      <c r="O32" s="44" t="s">
        <v>1209</v>
      </c>
      <c r="Q32" s="19" t="s">
        <v>1203</v>
      </c>
      <c r="R32" s="19" t="s">
        <v>136</v>
      </c>
      <c r="S32" s="19" t="s">
        <v>65</v>
      </c>
      <c r="T32" s="19" t="s">
        <v>137</v>
      </c>
      <c r="U32" s="5"/>
    </row>
    <row r="33" spans="1:23">
      <c r="A33" s="14"/>
      <c r="B33" s="16"/>
      <c r="C33" s="16"/>
      <c r="D33" s="16"/>
      <c r="E33" s="16" t="str">
        <f t="shared" si="1"/>
        <v>"BusinessPartnerRelation": {</v>
      </c>
      <c r="G33" s="19" t="s">
        <v>1210</v>
      </c>
      <c r="H33" s="19"/>
      <c r="J33" s="19" t="s">
        <v>65</v>
      </c>
      <c r="K33" s="19">
        <v>10</v>
      </c>
      <c r="M33" s="19"/>
      <c r="Q33" s="19"/>
      <c r="R33" s="5"/>
      <c r="S33" s="19" t="s">
        <v>65</v>
      </c>
      <c r="T33" s="19">
        <v>10</v>
      </c>
      <c r="U33" s="5"/>
      <c r="V33" s="19"/>
    </row>
    <row r="34" spans="1:23">
      <c r="A34" s="14"/>
      <c r="B34" s="16"/>
      <c r="C34" s="16"/>
      <c r="D34" s="16"/>
      <c r="E34" s="16" t="str">
        <f t="shared" si="1"/>
        <v>"relatedBusinessCustomer": ""</v>
      </c>
      <c r="F34" s="5" t="s">
        <v>62</v>
      </c>
      <c r="G34" s="19" t="s">
        <v>1211</v>
      </c>
      <c r="H34" s="19"/>
      <c r="I34" s="19" t="s">
        <v>1212</v>
      </c>
      <c r="J34" s="19" t="s">
        <v>65</v>
      </c>
      <c r="K34" s="19">
        <v>11</v>
      </c>
      <c r="O34" t="s">
        <v>1213</v>
      </c>
      <c r="Q34" s="19"/>
      <c r="R34" s="19" t="s">
        <v>1212</v>
      </c>
      <c r="S34" s="19" t="s">
        <v>65</v>
      </c>
      <c r="T34" s="19">
        <v>11</v>
      </c>
      <c r="U34" s="5"/>
    </row>
    <row r="35" spans="1:23">
      <c r="A35" s="14"/>
      <c r="B35" s="16"/>
      <c r="C35" s="16"/>
      <c r="D35" s="16"/>
      <c r="E35" s="16" t="str">
        <f t="shared" si="1"/>
        <v>"relatedBusinessCustomer2": "",</v>
      </c>
      <c r="F35" s="5" t="s">
        <v>62</v>
      </c>
      <c r="G35" s="19" t="s">
        <v>1214</v>
      </c>
      <c r="H35" s="19"/>
      <c r="I35" s="19" t="s">
        <v>1215</v>
      </c>
      <c r="J35" s="19" t="s">
        <v>65</v>
      </c>
      <c r="K35" s="19">
        <v>4</v>
      </c>
      <c r="O35" s="44" t="s">
        <v>1216</v>
      </c>
      <c r="Q35" s="19"/>
      <c r="R35" s="19" t="s">
        <v>1215</v>
      </c>
      <c r="S35" s="19" t="s">
        <v>65</v>
      </c>
      <c r="T35" s="19">
        <v>4</v>
      </c>
      <c r="U35" s="5"/>
    </row>
    <row r="36" spans="1:23">
      <c r="A36" s="14"/>
      <c r="B36" s="16"/>
      <c r="C36" s="16"/>
      <c r="D36" s="16"/>
      <c r="E36" s="16" t="str">
        <f t="shared" si="1"/>
        <v>},</v>
      </c>
      <c r="G36" s="19" t="s">
        <v>113</v>
      </c>
      <c r="H36" s="19"/>
      <c r="J36" s="19"/>
      <c r="K36" s="19"/>
      <c r="Q36" s="19"/>
      <c r="R36" s="5"/>
      <c r="S36" s="19"/>
      <c r="T36" s="19"/>
      <c r="U36" s="5"/>
    </row>
    <row r="37" spans="1:23">
      <c r="A37" s="14"/>
      <c r="B37" s="16"/>
      <c r="C37" s="16"/>
      <c r="D37" s="16"/>
      <c r="E37" s="16" t="str">
        <f t="shared" si="1"/>
        <v>"BankData": {</v>
      </c>
      <c r="G37" s="19" t="s">
        <v>1217</v>
      </c>
      <c r="H37" s="19"/>
      <c r="I37" s="19"/>
      <c r="J37" s="19"/>
      <c r="K37" s="19"/>
      <c r="Q37" s="19"/>
      <c r="R37" s="19"/>
      <c r="S37" s="19"/>
      <c r="T37" s="19"/>
      <c r="U37" s="5"/>
    </row>
    <row r="38" spans="1:23">
      <c r="A38" s="14"/>
      <c r="B38" s="16"/>
      <c r="C38" s="16"/>
      <c r="D38" s="16"/>
      <c r="E38" s="16" t="str">
        <f t="shared" si="1"/>
        <v>"bankAccountId": "",</v>
      </c>
      <c r="F38" s="5" t="s">
        <v>62</v>
      </c>
      <c r="G38" s="19" t="s">
        <v>143</v>
      </c>
      <c r="H38" s="19" t="s">
        <v>144</v>
      </c>
      <c r="I38" s="19" t="s">
        <v>145</v>
      </c>
      <c r="J38" s="19" t="s">
        <v>65</v>
      </c>
      <c r="K38" s="19">
        <v>60</v>
      </c>
      <c r="O38" t="s">
        <v>146</v>
      </c>
      <c r="Q38" s="19" t="s">
        <v>144</v>
      </c>
      <c r="R38" s="19" t="s">
        <v>145</v>
      </c>
      <c r="S38" s="19" t="s">
        <v>65</v>
      </c>
      <c r="T38" s="19">
        <v>60</v>
      </c>
      <c r="U38" s="5"/>
    </row>
    <row r="39" spans="1:23">
      <c r="A39" s="14"/>
      <c r="B39" s="16"/>
      <c r="C39" s="16"/>
      <c r="D39" s="16"/>
      <c r="E39" s="16" t="str">
        <f t="shared" si="1"/>
        <v>"accountHolder": "",</v>
      </c>
      <c r="F39" s="5" t="s">
        <v>62</v>
      </c>
      <c r="G39" s="19" t="s">
        <v>147</v>
      </c>
      <c r="H39" s="19" t="s">
        <v>148</v>
      </c>
      <c r="I39" s="19" t="s">
        <v>149</v>
      </c>
      <c r="J39" s="19" t="s">
        <v>65</v>
      </c>
      <c r="K39" s="19">
        <v>34</v>
      </c>
      <c r="L39" s="19"/>
      <c r="O39" s="44" t="s">
        <v>150</v>
      </c>
      <c r="Q39" s="19" t="s">
        <v>148</v>
      </c>
      <c r="R39" s="19" t="s">
        <v>149</v>
      </c>
      <c r="S39" s="19" t="s">
        <v>65</v>
      </c>
      <c r="T39" s="19">
        <v>34</v>
      </c>
      <c r="U39" s="19"/>
    </row>
    <row r="40" spans="1:23">
      <c r="A40" s="14"/>
      <c r="B40" s="16"/>
      <c r="C40" s="16"/>
      <c r="D40" s="16"/>
      <c r="E40" s="16" t="str">
        <f t="shared" si="1"/>
        <v>"internationalBankAccountNumber": "",</v>
      </c>
      <c r="F40" s="5" t="s">
        <v>62</v>
      </c>
      <c r="G40" s="19" t="s">
        <v>151</v>
      </c>
      <c r="H40" s="19" t="s">
        <v>144</v>
      </c>
      <c r="I40" s="19" t="s">
        <v>152</v>
      </c>
      <c r="J40" s="19" t="s">
        <v>116</v>
      </c>
      <c r="K40" s="19"/>
      <c r="O40" t="s">
        <v>154</v>
      </c>
      <c r="Q40" s="19" t="s">
        <v>144</v>
      </c>
      <c r="R40" s="19" t="s">
        <v>152</v>
      </c>
      <c r="S40" s="19" t="s">
        <v>116</v>
      </c>
      <c r="T40" s="19"/>
      <c r="U40" s="5"/>
    </row>
    <row r="41" spans="1:23">
      <c r="A41" s="14"/>
      <c r="B41" s="16"/>
      <c r="C41" s="16"/>
      <c r="D41" s="16"/>
      <c r="E41" s="16" t="str">
        <f t="shared" si="1"/>
        <v>"bankAccountValidityStartDate": ""</v>
      </c>
      <c r="F41" s="5" t="s">
        <v>62</v>
      </c>
      <c r="G41" s="19" t="s">
        <v>155</v>
      </c>
      <c r="H41" s="19" t="s">
        <v>144</v>
      </c>
      <c r="I41" s="19" t="s">
        <v>156</v>
      </c>
      <c r="J41" s="19" t="s">
        <v>116</v>
      </c>
      <c r="K41" s="19"/>
      <c r="O41" t="s">
        <v>157</v>
      </c>
      <c r="Q41" s="19" t="s">
        <v>144</v>
      </c>
      <c r="R41" s="19" t="s">
        <v>156</v>
      </c>
      <c r="S41" s="19" t="s">
        <v>116</v>
      </c>
      <c r="T41" s="19"/>
      <c r="U41" s="5"/>
    </row>
    <row r="42" spans="1:23">
      <c r="A42" s="14"/>
      <c r="B42" s="16"/>
      <c r="C42" s="16"/>
      <c r="D42" s="16"/>
      <c r="E42" s="16" t="str">
        <f t="shared" si="1"/>
        <v>"bankAccountValidityEndDate": "",</v>
      </c>
      <c r="F42" s="5" t="s">
        <v>62</v>
      </c>
      <c r="G42" s="19" t="s">
        <v>158</v>
      </c>
      <c r="H42" s="19" t="s">
        <v>144</v>
      </c>
      <c r="I42" s="19" t="s">
        <v>159</v>
      </c>
      <c r="J42" s="19" t="s">
        <v>65</v>
      </c>
      <c r="K42" s="19">
        <v>60</v>
      </c>
      <c r="O42" t="s">
        <v>160</v>
      </c>
      <c r="Q42" s="19" t="s">
        <v>144</v>
      </c>
      <c r="R42" s="19" t="s">
        <v>159</v>
      </c>
      <c r="S42" s="19" t="s">
        <v>65</v>
      </c>
      <c r="T42" s="19">
        <v>60</v>
      </c>
      <c r="U42" s="5"/>
    </row>
    <row r="43" spans="1:23">
      <c r="A43" s="14"/>
      <c r="B43" s="16"/>
      <c r="C43" s="16"/>
      <c r="D43" s="16"/>
      <c r="E43" s="16" t="str">
        <f t="shared" si="1"/>
        <v>},</v>
      </c>
      <c r="G43" s="19" t="s">
        <v>113</v>
      </c>
      <c r="H43" s="19"/>
      <c r="J43" s="19"/>
      <c r="K43" s="19"/>
      <c r="Q43" s="19"/>
      <c r="R43" s="5"/>
      <c r="S43" s="19"/>
      <c r="T43" s="19"/>
      <c r="U43" s="5"/>
    </row>
    <row r="44" spans="1:23">
      <c r="A44" s="14"/>
      <c r="B44" s="16"/>
      <c r="C44" s="16"/>
      <c r="D44" s="16"/>
      <c r="E44" s="16" t="str">
        <f t="shared" si="1"/>
        <v>"AdressData":{</v>
      </c>
      <c r="G44" s="19" t="s">
        <v>162</v>
      </c>
      <c r="H44" s="19"/>
      <c r="I44" s="19"/>
      <c r="J44" s="19"/>
      <c r="K44" s="19"/>
      <c r="Q44" s="19"/>
      <c r="R44" s="19"/>
      <c r="S44" s="19"/>
      <c r="T44" s="19"/>
      <c r="U44" s="5"/>
    </row>
    <row r="45" spans="1:23">
      <c r="A45" s="14"/>
      <c r="B45" s="16"/>
      <c r="C45" s="16"/>
      <c r="D45" s="16"/>
      <c r="E45" s="16" t="str">
        <f t="shared" si="1"/>
        <v>"addressId": "",</v>
      </c>
      <c r="F45" s="5" t="s">
        <v>62</v>
      </c>
      <c r="G45" s="19" t="s">
        <v>163</v>
      </c>
      <c r="H45" s="19" t="s">
        <v>164</v>
      </c>
      <c r="I45" s="19" t="s">
        <v>164</v>
      </c>
      <c r="J45" s="19" t="s">
        <v>65</v>
      </c>
      <c r="K45" s="19">
        <v>10</v>
      </c>
      <c r="L45" s="19"/>
      <c r="N45" t="s">
        <v>1218</v>
      </c>
      <c r="Q45" s="19" t="s">
        <v>164</v>
      </c>
      <c r="R45" s="19" t="s">
        <v>164</v>
      </c>
      <c r="S45" s="19" t="s">
        <v>65</v>
      </c>
      <c r="T45" s="19">
        <v>10</v>
      </c>
      <c r="U45" s="19"/>
      <c r="W45" t="s">
        <v>1218</v>
      </c>
    </row>
    <row r="46" spans="1:23">
      <c r="A46" s="14"/>
      <c r="B46" s="16"/>
      <c r="C46" s="16"/>
      <c r="D46" s="16"/>
      <c r="E46" s="16" t="str">
        <f t="shared" si="1"/>
        <v>"street": "",</v>
      </c>
      <c r="F46" s="5" t="s">
        <v>57</v>
      </c>
      <c r="G46" s="19" t="s">
        <v>166</v>
      </c>
      <c r="H46" s="19" t="s">
        <v>167</v>
      </c>
      <c r="I46" s="19" t="s">
        <v>167</v>
      </c>
      <c r="J46" s="19" t="s">
        <v>65</v>
      </c>
      <c r="K46" s="19">
        <v>10</v>
      </c>
      <c r="L46" s="19"/>
      <c r="O46" s="44" t="s">
        <v>168</v>
      </c>
      <c r="Q46" s="19" t="s">
        <v>167</v>
      </c>
      <c r="R46" s="19" t="s">
        <v>167</v>
      </c>
      <c r="S46" s="19" t="s">
        <v>65</v>
      </c>
      <c r="T46" s="19">
        <v>10</v>
      </c>
      <c r="U46" s="19"/>
    </row>
    <row r="47" spans="1:23">
      <c r="A47" s="14"/>
      <c r="B47" s="16"/>
      <c r="C47" s="16"/>
      <c r="D47" s="16"/>
      <c r="E47" s="16" t="str">
        <f t="shared" si="1"/>
        <v>"houseNumber": "",</v>
      </c>
      <c r="F47" s="5" t="s">
        <v>62</v>
      </c>
      <c r="G47" s="19" t="s">
        <v>169</v>
      </c>
      <c r="H47" s="19" t="s">
        <v>170</v>
      </c>
      <c r="I47" s="19" t="s">
        <v>170</v>
      </c>
      <c r="J47" s="19" t="s">
        <v>65</v>
      </c>
      <c r="K47" s="19">
        <v>10</v>
      </c>
      <c r="O47" s="44" t="s">
        <v>171</v>
      </c>
      <c r="Q47" s="19" t="s">
        <v>170</v>
      </c>
      <c r="R47" s="19" t="s">
        <v>170</v>
      </c>
      <c r="S47" s="19" t="s">
        <v>65</v>
      </c>
      <c r="T47" s="19">
        <v>10</v>
      </c>
      <c r="U47" s="5"/>
    </row>
    <row r="48" spans="1:23">
      <c r="A48" s="14"/>
      <c r="B48" s="16"/>
      <c r="C48" s="16"/>
      <c r="D48" s="16"/>
      <c r="E48" s="16" t="str">
        <f t="shared" si="1"/>
        <v>"houseNumberSupplement": "",</v>
      </c>
      <c r="F48" s="5" t="s">
        <v>62</v>
      </c>
      <c r="G48" s="19" t="s">
        <v>172</v>
      </c>
      <c r="H48" s="19" t="s">
        <v>173</v>
      </c>
      <c r="I48" s="19" t="s">
        <v>173</v>
      </c>
      <c r="J48" s="19" t="s">
        <v>65</v>
      </c>
      <c r="K48" s="19">
        <v>40</v>
      </c>
      <c r="O48" s="44" t="s">
        <v>174</v>
      </c>
      <c r="Q48" s="19" t="s">
        <v>173</v>
      </c>
      <c r="R48" s="19" t="s">
        <v>173</v>
      </c>
      <c r="S48" s="19" t="s">
        <v>65</v>
      </c>
      <c r="T48" s="19">
        <v>40</v>
      </c>
      <c r="U48" s="5"/>
    </row>
    <row r="49" spans="1:23">
      <c r="A49" s="14"/>
      <c r="B49" s="16"/>
      <c r="C49" s="16" t="str">
        <f t="shared" ref="C49:C52" si="2">IF(B49="person","p_",(IF(B49="organisation","o_",(IF(B49="person/organisation","po_","")))))</f>
        <v/>
      </c>
      <c r="D49" s="16"/>
      <c r="E49" s="16" t="str">
        <f t="shared" si="1"/>
        <v>"postalCode": "",</v>
      </c>
      <c r="F49" s="5" t="s">
        <v>57</v>
      </c>
      <c r="G49" s="19" t="s">
        <v>175</v>
      </c>
      <c r="H49" s="19" t="s">
        <v>176</v>
      </c>
      <c r="I49" s="19" t="s">
        <v>176</v>
      </c>
      <c r="J49" s="19" t="s">
        <v>65</v>
      </c>
      <c r="K49" s="19">
        <v>241</v>
      </c>
      <c r="O49" s="44" t="s">
        <v>177</v>
      </c>
      <c r="Q49" s="19" t="s">
        <v>176</v>
      </c>
      <c r="R49" s="19" t="s">
        <v>176</v>
      </c>
      <c r="S49" s="19" t="s">
        <v>65</v>
      </c>
      <c r="T49" s="19">
        <v>241</v>
      </c>
      <c r="U49" s="5"/>
    </row>
    <row r="50" spans="1:23">
      <c r="A50" s="14"/>
      <c r="B50" s="16"/>
      <c r="C50" s="16" t="str">
        <f t="shared" si="2"/>
        <v/>
      </c>
      <c r="D50" s="16"/>
      <c r="E50" s="16" t="str">
        <f t="shared" si="1"/>
        <v>"city": "",</v>
      </c>
      <c r="F50" s="5" t="s">
        <v>57</v>
      </c>
      <c r="G50" s="19" t="s">
        <v>178</v>
      </c>
      <c r="H50" s="19" t="s">
        <v>179</v>
      </c>
      <c r="I50" s="19" t="s">
        <v>179</v>
      </c>
      <c r="J50" s="19" t="s">
        <v>65</v>
      </c>
      <c r="K50" s="19">
        <v>10</v>
      </c>
      <c r="O50" s="44" t="s">
        <v>180</v>
      </c>
      <c r="Q50" s="19" t="s">
        <v>179</v>
      </c>
      <c r="R50" s="19" t="s">
        <v>179</v>
      </c>
      <c r="S50" s="19" t="s">
        <v>65</v>
      </c>
      <c r="T50" s="19">
        <v>10</v>
      </c>
      <c r="U50" s="5"/>
    </row>
    <row r="51" spans="1:23">
      <c r="A51" s="14"/>
      <c r="B51" s="16"/>
      <c r="C51" s="16" t="str">
        <f t="shared" si="2"/>
        <v/>
      </c>
      <c r="D51" s="16"/>
      <c r="E51" s="16" t="str">
        <f t="shared" si="1"/>
        <v>"country": "",</v>
      </c>
      <c r="F51" s="5" t="s">
        <v>62</v>
      </c>
      <c r="G51" s="19" t="s">
        <v>184</v>
      </c>
      <c r="H51" s="19" t="s">
        <v>185</v>
      </c>
      <c r="I51" s="19" t="s">
        <v>185</v>
      </c>
      <c r="J51" s="19" t="s">
        <v>65</v>
      </c>
      <c r="K51" s="19">
        <v>10</v>
      </c>
      <c r="N51" t="s">
        <v>75</v>
      </c>
      <c r="O51" s="44" t="s">
        <v>186</v>
      </c>
      <c r="Q51" s="19" t="s">
        <v>185</v>
      </c>
      <c r="R51" s="19" t="s">
        <v>185</v>
      </c>
      <c r="S51" s="19" t="s">
        <v>65</v>
      </c>
      <c r="T51" s="19">
        <v>10</v>
      </c>
      <c r="U51" s="5"/>
      <c r="W51" t="s">
        <v>75</v>
      </c>
    </row>
    <row r="52" spans="1:23">
      <c r="A52" s="14"/>
      <c r="B52" s="16"/>
      <c r="C52" s="16" t="str">
        <f t="shared" si="2"/>
        <v/>
      </c>
      <c r="D52" s="16"/>
      <c r="E52" s="16" t="str">
        <f t="shared" si="1"/>
        <v>"poBox": "",</v>
      </c>
      <c r="F52" s="5" t="s">
        <v>62</v>
      </c>
      <c r="G52" s="19" t="s">
        <v>190</v>
      </c>
      <c r="H52" s="19" t="s">
        <v>191</v>
      </c>
      <c r="I52" s="19" t="s">
        <v>191</v>
      </c>
      <c r="J52" s="19" t="s">
        <v>65</v>
      </c>
      <c r="K52" s="19">
        <v>10</v>
      </c>
      <c r="O52" s="44" t="s">
        <v>192</v>
      </c>
      <c r="Q52" s="19" t="s">
        <v>191</v>
      </c>
      <c r="R52" s="19" t="s">
        <v>191</v>
      </c>
      <c r="S52" s="19" t="s">
        <v>65</v>
      </c>
      <c r="T52" s="19">
        <v>10</v>
      </c>
      <c r="U52" s="5"/>
    </row>
    <row r="53" spans="1:23">
      <c r="A53" s="14"/>
      <c r="E53" s="16" t="str">
        <f t="shared" si="1"/>
        <v>"poBoxPostalCode": "",</v>
      </c>
      <c r="F53" s="5" t="s">
        <v>62</v>
      </c>
      <c r="G53" s="19" t="s">
        <v>193</v>
      </c>
      <c r="H53" s="19" t="s">
        <v>194</v>
      </c>
      <c r="I53" s="19" t="s">
        <v>194</v>
      </c>
      <c r="J53" s="19" t="s">
        <v>65</v>
      </c>
      <c r="K53" s="19">
        <v>40</v>
      </c>
      <c r="O53" s="44" t="s">
        <v>195</v>
      </c>
      <c r="Q53" s="19" t="s">
        <v>194</v>
      </c>
      <c r="R53" s="19" t="s">
        <v>194</v>
      </c>
      <c r="S53" s="19" t="s">
        <v>65</v>
      </c>
      <c r="T53" s="19">
        <v>40</v>
      </c>
      <c r="U53" s="5"/>
    </row>
    <row r="54" spans="1:23">
      <c r="A54" s="14"/>
      <c r="E54" s="16" t="str">
        <f t="shared" si="1"/>
        <v>"poBoxPostalCity": "",</v>
      </c>
      <c r="F54" s="5" t="s">
        <v>62</v>
      </c>
      <c r="G54" s="19" t="s">
        <v>196</v>
      </c>
      <c r="H54" s="19" t="s">
        <v>197</v>
      </c>
      <c r="I54" s="19" t="s">
        <v>197</v>
      </c>
      <c r="J54" s="19" t="s">
        <v>65</v>
      </c>
      <c r="K54" s="19">
        <v>3</v>
      </c>
      <c r="O54" s="44" t="s">
        <v>198</v>
      </c>
      <c r="Q54" s="19" t="s">
        <v>197</v>
      </c>
      <c r="R54" s="19" t="s">
        <v>197</v>
      </c>
      <c r="S54" s="19" t="s">
        <v>65</v>
      </c>
      <c r="T54" s="19">
        <v>3</v>
      </c>
      <c r="U54" s="5"/>
    </row>
    <row r="55" spans="1:23">
      <c r="E55" s="16" t="str">
        <f t="shared" si="1"/>
        <v>"poBoxPostalRegion": "",</v>
      </c>
      <c r="F55" s="5" t="s">
        <v>62</v>
      </c>
      <c r="G55" s="19" t="s">
        <v>199</v>
      </c>
      <c r="H55" s="19" t="s">
        <v>200</v>
      </c>
      <c r="I55" s="19" t="s">
        <v>200</v>
      </c>
      <c r="J55" s="19" t="s">
        <v>65</v>
      </c>
      <c r="K55" s="19">
        <v>3</v>
      </c>
      <c r="O55" s="44" t="s">
        <v>1219</v>
      </c>
      <c r="Q55" s="19" t="s">
        <v>200</v>
      </c>
      <c r="R55" s="19" t="s">
        <v>200</v>
      </c>
      <c r="S55" s="19" t="s">
        <v>65</v>
      </c>
      <c r="T55" s="19">
        <v>3</v>
      </c>
      <c r="U55" s="5"/>
    </row>
    <row r="56" spans="1:23">
      <c r="E56" s="16" t="str">
        <f t="shared" si="1"/>
        <v>"poBoxPostalCountry": ""</v>
      </c>
      <c r="F56" s="5" t="s">
        <v>62</v>
      </c>
      <c r="G56" s="19" t="s">
        <v>202</v>
      </c>
      <c r="H56" s="19" t="s">
        <v>203</v>
      </c>
      <c r="I56" s="19" t="s">
        <v>203</v>
      </c>
      <c r="J56" s="19" t="s">
        <v>65</v>
      </c>
      <c r="K56" s="19">
        <v>40</v>
      </c>
      <c r="N56" t="s">
        <v>1218</v>
      </c>
      <c r="O56" s="44"/>
      <c r="Q56" s="19" t="s">
        <v>203</v>
      </c>
      <c r="R56" s="19" t="s">
        <v>203</v>
      </c>
      <c r="S56" s="19" t="s">
        <v>65</v>
      </c>
      <c r="T56" s="19">
        <v>40</v>
      </c>
      <c r="U56" s="5"/>
      <c r="W56" t="s">
        <v>1218</v>
      </c>
    </row>
    <row r="57" spans="1:23">
      <c r="E57" s="16" t="str">
        <f t="shared" si="1"/>
        <v>"district": "",</v>
      </c>
      <c r="F57" s="5" t="s">
        <v>62</v>
      </c>
      <c r="G57" s="19" t="s">
        <v>187</v>
      </c>
      <c r="H57" s="19" t="s">
        <v>188</v>
      </c>
      <c r="I57" s="19" t="s">
        <v>188</v>
      </c>
      <c r="N57" t="s">
        <v>1218</v>
      </c>
      <c r="O57" s="44"/>
      <c r="Q57" s="19" t="s">
        <v>188</v>
      </c>
      <c r="R57" s="19" t="s">
        <v>188</v>
      </c>
      <c r="S57" s="5"/>
      <c r="T57" s="5"/>
      <c r="U57" s="5"/>
      <c r="W57" t="s">
        <v>1218</v>
      </c>
    </row>
    <row r="58" spans="1:23">
      <c r="E58" s="16" t="str">
        <f t="shared" si="1"/>
        <v>},</v>
      </c>
      <c r="G58" s="19" t="s">
        <v>113</v>
      </c>
      <c r="I58" s="19"/>
      <c r="J58" s="19"/>
      <c r="K58" s="19"/>
      <c r="O58" s="44"/>
      <c r="Q58" s="5"/>
      <c r="R58" s="19"/>
      <c r="S58" s="19"/>
      <c r="T58" s="19"/>
      <c r="U58" s="5"/>
    </row>
    <row r="59" spans="1:23">
      <c r="E59" s="16" t="str">
        <f t="shared" si="1"/>
        <v>"industry": "",</v>
      </c>
      <c r="F59" s="5" t="s">
        <v>62</v>
      </c>
      <c r="G59" s="19" t="s">
        <v>205</v>
      </c>
      <c r="H59" s="16" t="s">
        <v>206</v>
      </c>
      <c r="I59" s="19" t="s">
        <v>207</v>
      </c>
      <c r="J59" s="19" t="s">
        <v>65</v>
      </c>
      <c r="K59" s="19">
        <v>10</v>
      </c>
      <c r="O59" s="44" t="s">
        <v>209</v>
      </c>
      <c r="Q59" s="16" t="s">
        <v>206</v>
      </c>
      <c r="R59" s="19" t="s">
        <v>207</v>
      </c>
      <c r="S59" s="19" t="s">
        <v>65</v>
      </c>
      <c r="T59" s="19">
        <v>10</v>
      </c>
      <c r="U59" s="5"/>
    </row>
    <row r="60" spans="1:23">
      <c r="E60" s="16" t="str">
        <f t="shared" si="1"/>
        <v>}</v>
      </c>
      <c r="G60" s="16" t="s">
        <v>210</v>
      </c>
      <c r="Q60" s="5"/>
      <c r="R60" s="5"/>
      <c r="S60" s="5"/>
      <c r="T60" s="5"/>
      <c r="U60" s="5"/>
    </row>
  </sheetData>
  <autoFilter ref="A2:P54" xr:uid="{02FB0506-52A2-4B73-BFD6-06CFDA61690E}"/>
  <mergeCells count="1">
    <mergeCell ref="A1:G1"/>
  </mergeCells>
  <phoneticPr fontId="8" type="noConversion"/>
  <pageMargins left="0.7" right="0.7" top="0.75" bottom="0.75" header="0.3" footer="0.3"/>
  <pageSetup paperSize="9" orientation="portrait"/>
  <headerFooter>
    <oddFooter>&amp;L_x000D_&amp;1#&amp;"Aptos"&amp;10&amp;K000000 TLP:AMBER - vertraulich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513D42BAB94749BF98730FF7F7E801" ma:contentTypeVersion="12" ma:contentTypeDescription="Ein neues Dokument erstellen." ma:contentTypeScope="" ma:versionID="831cb58b383d8884c7e5dca72194776c">
  <xsd:schema xmlns:xsd="http://www.w3.org/2001/XMLSchema" xmlns:xs="http://www.w3.org/2001/XMLSchema" xmlns:p="http://schemas.microsoft.com/office/2006/metadata/properties" xmlns:ns2="e4361cca-6ff4-4873-ad8b-ea1762d80a5f" xmlns:ns3="4f20c337-da6c-4823-a7c5-4a1c4b26feb7" targetNamespace="http://schemas.microsoft.com/office/2006/metadata/properties" ma:root="true" ma:fieldsID="c125a80765dc01523d59b0c56d94c8c0" ns2:_="" ns3:_="">
    <xsd:import namespace="e4361cca-6ff4-4873-ad8b-ea1762d80a5f"/>
    <xsd:import namespace="4f20c337-da6c-4823-a7c5-4a1c4b26fe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61cca-6ff4-4873-ad8b-ea1762d80a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2130dff-0f6b-4ee7-bbfa-3cb338db2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c337-da6c-4823-a7c5-4a1c4b26feb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25f374b-01dc-49c5-b191-83f82b9e1e05}" ma:internalName="TaxCatchAll" ma:showField="CatchAllData" ma:web="4f20c337-da6c-4823-a7c5-4a1c4b26fe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20c337-da6c-4823-a7c5-4a1c4b26feb7" xsi:nil="true"/>
    <lcf76f155ced4ddcb4097134ff3c332f xmlns="e4361cca-6ff4-4873-ad8b-ea1762d80a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F09F44-467F-49AF-8A23-79F8DF238682}"/>
</file>

<file path=customXml/itemProps2.xml><?xml version="1.0" encoding="utf-8"?>
<ds:datastoreItem xmlns:ds="http://schemas.openxmlformats.org/officeDocument/2006/customXml" ds:itemID="{D393FBA0-50C3-4853-89EE-27CFCE2BF2AE}"/>
</file>

<file path=customXml/itemProps3.xml><?xml version="1.0" encoding="utf-8"?>
<ds:datastoreItem xmlns:ds="http://schemas.openxmlformats.org/officeDocument/2006/customXml" ds:itemID="{0011B7E0-CF7E-4F87-8C69-2DB90DBADBE4}"/>
</file>

<file path=docMetadata/LabelInfo.xml><?xml version="1.0" encoding="utf-8"?>
<clbl:labelList xmlns:clbl="http://schemas.microsoft.com/office/2020/mipLabelMetadata">
  <clbl:label id="{2d8b24e5-b9a4-4e15-ba29-0d61d2b19ad1}" enabled="1" method="Standard" siteId="{7d463204-c9c5-402a-a1c6-f7bbe8e5ee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Friedrich Dirk</dc:creator>
  <cp:keywords/>
  <dc:description/>
  <cp:lastModifiedBy/>
  <cp:revision/>
  <dcterms:created xsi:type="dcterms:W3CDTF">2024-04-27T08:51:11Z</dcterms:created>
  <dcterms:modified xsi:type="dcterms:W3CDTF">2026-03-20T14:56:45Z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0x010100A3513D42BAB94749BF98730FF7F7E801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