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evngrp.sharepoint.com/teams/AG_2311_00474_EVN/Arbeitsgruppen Dokumente/05_Architektur/01 Energielieferverträge für Organisation erstellen-ändern/Tarifwechsel/"/>
    </mc:Choice>
  </mc:AlternateContent>
  <xr:revisionPtr revIDLastSave="0" documentId="8_{5673D05D-0672-48FD-BAD9-4BC653F085C8}" xr6:coauthVersionLast="47" xr6:coauthVersionMax="47" xr10:uidLastSave="{00000000-0000-0000-0000-000000000000}"/>
  <bookViews>
    <workbookView xWindow="-51720" yWindow="-120" windowWidth="51840" windowHeight="21120" firstSheet="3" activeTab="3" xr2:uid="{40F7BC13-26DE-4FB9-AA07-D4E6F6F68B5E}"/>
  </bookViews>
  <sheets>
    <sheet name="Historie" sheetId="2" r:id="rId1"/>
    <sheet name="Service Bus" sheetId="3" r:id="rId2"/>
    <sheet name="Interface Rules" sheetId="4" r:id="rId3"/>
    <sheet name="Interface Mapping (Middleware)" sheetId="5" r:id="rId4"/>
    <sheet name="Response " sheetId="7" r:id="rId5"/>
    <sheet name="Tabelle1" sheetId="6" r:id="rId6"/>
    <sheet name="Interface Mapping (BTP-ISU)" sheetId="1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7" l="1"/>
  <c r="C17" i="7"/>
  <c r="C15" i="7"/>
  <c r="C12" i="7"/>
  <c r="C11" i="7"/>
  <c r="C10" i="7"/>
  <c r="E8" i="7"/>
  <c r="C7" i="7"/>
  <c r="E7" i="7" s="1"/>
  <c r="C6" i="7"/>
  <c r="E6" i="7" s="1"/>
  <c r="E5" i="7"/>
  <c r="C4" i="7"/>
  <c r="E4" i="7" s="1"/>
  <c r="E3" i="7"/>
  <c r="C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tc={CEFED952-C913-4159-822F-864FEC040C2D}</author>
  </authors>
  <commentList>
    <comment ref="G8" authorId="0" shapeId="0" xr:uid="{CEFED952-C913-4159-822F-864FEC040C2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Was ist mit den alten SEPA Mandate
</t>
      </text>
    </comment>
  </commentList>
</comments>
</file>

<file path=xl/sharedStrings.xml><?xml version="1.0" encoding="utf-8"?>
<sst xmlns="http://schemas.openxmlformats.org/spreadsheetml/2006/main" count="626" uniqueCount="291">
  <si>
    <t>CRM2ISU - Zahldaten im Kontext Tarifwechsel - Änderungshistorie</t>
  </si>
  <si>
    <t>Durchgeführte Änderungen an dem Interface Mapping werden hier angeführt sowie in dem Tab "Interface Mapping (Main Doc)" blau hervorgehoben. Die aktuell gültige Version ist dem Filename zu entnehmen</t>
  </si>
  <si>
    <t>Version</t>
  </si>
  <si>
    <t>Datum</t>
  </si>
  <si>
    <t>Beschreibung</t>
  </si>
  <si>
    <t>Jira Link zur US</t>
  </si>
  <si>
    <t>Änderung durchgeführt durch</t>
  </si>
  <si>
    <t>0.0</t>
  </si>
  <si>
    <t>n.a.</t>
  </si>
  <si>
    <t>Initiale Datei</t>
  </si>
  <si>
    <t> </t>
  </si>
  <si>
    <t>Anton Gartner</t>
  </si>
  <si>
    <t>1.0</t>
  </si>
  <si>
    <t>31.01.2025</t>
  </si>
  <si>
    <t>neuer Tab Middleware Mapping</t>
  </si>
  <si>
    <t>Björn Rödiger</t>
  </si>
  <si>
    <t>1.1</t>
  </si>
  <si>
    <t>Sperrgründe und Mahnempfänger hinzugefügt</t>
  </si>
  <si>
    <t>1.2</t>
  </si>
  <si>
    <t>Response analog Tarifwechsel hinzugefügt</t>
  </si>
  <si>
    <t>Sergiu Simpalean</t>
  </si>
  <si>
    <t>1.3</t>
  </si>
  <si>
    <t>ChangeRequestCRMGuid</t>
  </si>
  <si>
    <t>1.4</t>
  </si>
  <si>
    <t>ENUM Zahlschein</t>
  </si>
  <si>
    <t>Connection String for Service Bus DEV: Endpoint=</t>
  </si>
  <si>
    <t>Connection String for Service Bus BUILD: Endpoint=</t>
  </si>
  <si>
    <t>Connection String for Service Bus UAT: Endpoint=</t>
  </si>
  <si>
    <t>Connection String for Service Bus PROD: Endpoint=</t>
  </si>
  <si>
    <t>Topic: sapinterfaces</t>
  </si>
  <si>
    <r>
      <t>Subscription</t>
    </r>
    <r>
      <rPr>
        <sz val="11"/>
        <color rgb="FF000000"/>
        <rFont val="Calibri"/>
        <family val="2"/>
      </rPr>
      <t>: </t>
    </r>
  </si>
  <si>
    <t>Name: crmesint-operation</t>
  </si>
  <si>
    <t>Value: xxx</t>
  </si>
  <si>
    <t xml:space="preserve">That is a custom property of the service bus message you will create and send.
ServiceBusMessage message = new ServiceBusMessage(content);
message.ApplicationProperties.Add(„crmesint-operation“, „xxx“);
 </t>
  </si>
  <si>
    <t>Interface Rules</t>
  </si>
  <si>
    <t>§</t>
  </si>
  <si>
    <r>
      <t>Not all</t>
    </r>
    <r>
      <rPr>
        <sz val="11"/>
        <color rgb="FF000000"/>
        <rFont val="Calibri"/>
        <family val="2"/>
      </rPr>
      <t xml:space="preserve"> Values in Payload are transmitted as Strings, encased by ""</t>
    </r>
  </si>
  <si>
    <r>
      <t xml:space="preserve">Date and Time </t>
    </r>
    <r>
      <rPr>
        <sz val="11"/>
        <color rgb="FF000000"/>
        <rFont val="Calibri"/>
        <family val="2"/>
      </rPr>
      <t>values are passed as JSON (String) Datetime format ISO 8601 (e.g. "2012-04-21T18:25:43-05:00")</t>
    </r>
  </si>
  <si>
    <r>
      <t>Boolean</t>
    </r>
    <r>
      <rPr>
        <sz val="11"/>
        <color rgb="FF000000"/>
        <rFont val="Calibri"/>
        <family val="2"/>
      </rPr>
      <t xml:space="preserve"> Values are passed always in the followign format true or false</t>
    </r>
  </si>
  <si>
    <r>
      <t>NULL</t>
    </r>
    <r>
      <rPr>
        <sz val="11"/>
        <color rgb="FF000000"/>
        <rFont val="Calibri"/>
        <family val="2"/>
      </rPr>
      <t xml:space="preserve"> Values are passed as NULL</t>
    </r>
  </si>
  <si>
    <r>
      <t>Enumerated</t>
    </r>
    <r>
      <rPr>
        <sz val="11"/>
        <color rgb="FF000000"/>
        <rFont val="Calibri"/>
        <family val="2"/>
      </rPr>
      <t xml:space="preserve"> Values are passed as Strings, exactly as presentedn in column "Enumerations"</t>
    </r>
  </si>
  <si>
    <r>
      <t xml:space="preserve">More Properties and Values are sent via the payload than necessary. </t>
    </r>
    <r>
      <rPr>
        <b/>
        <sz val="11"/>
        <color rgb="FF000000"/>
        <rFont val="Calibri"/>
        <family val="2"/>
      </rPr>
      <t>D365 will only consider the relevant Objects, Properties and Values</t>
    </r>
    <r>
      <rPr>
        <sz val="11"/>
        <color rgb="FF000000"/>
        <rFont val="Calibri"/>
        <family val="2"/>
      </rPr>
      <t xml:space="preserve"> that are market as such in column "BELNB D365"</t>
    </r>
  </si>
  <si>
    <r>
      <t>Decimal values</t>
    </r>
    <r>
      <rPr>
        <sz val="11"/>
        <color rgb="FF000000"/>
        <rFont val="Calibri"/>
        <family val="2"/>
      </rPr>
      <t xml:space="preserve"> are represented as a number </t>
    </r>
    <r>
      <rPr>
        <sz val="11"/>
        <rFont val="Calibri"/>
        <family val="2"/>
      </rPr>
      <t xml:space="preserve">with </t>
    </r>
    <r>
      <rPr>
        <b/>
        <sz val="11"/>
        <rFont val="Calibri"/>
        <family val="2"/>
      </rPr>
      <t>decimalpoint</t>
    </r>
  </si>
  <si>
    <r>
      <t xml:space="preserve">When processing </t>
    </r>
    <r>
      <rPr>
        <b/>
        <sz val="11"/>
        <color rgb="FF000000"/>
        <rFont val="Calibri"/>
        <family val="2"/>
      </rPr>
      <t>Main payload, look for Process Doc payload</t>
    </r>
    <r>
      <rPr>
        <sz val="11"/>
        <color rgb="FF000000"/>
        <rFont val="Calibri"/>
        <family val="2"/>
      </rPr>
      <t>, if it is not found, wait 2 minutes (to be configurable (evn variable)) and try again as many times as configured. If still not found, process main doc without ISU Process Doc</t>
    </r>
  </si>
  <si>
    <t>Dynamcics 365 to ISU - PaymentCondition</t>
  </si>
  <si>
    <t>"</t>
  </si>
  <si>
    <t>line</t>
  </si>
  <si>
    <t>Bemerkung</t>
  </si>
  <si>
    <t>sample value</t>
  </si>
  <si>
    <t>JSON Sample</t>
  </si>
  <si>
    <t>occurence</t>
  </si>
  <si>
    <t>OData Bezeichnung</t>
  </si>
  <si>
    <t>Datenelement</t>
  </si>
  <si>
    <t>Datentyp</t>
  </si>
  <si>
    <t>Feldlänge/Wertebereich</t>
  </si>
  <si>
    <t>Enum</t>
  </si>
  <si>
    <t>JSON DATA TYPE (if empty=string)</t>
  </si>
  <si>
    <t>Mapping Logic from D365</t>
  </si>
  <si>
    <t xml:space="preserve">D365 Field </t>
  </si>
  <si>
    <t>Notes</t>
  </si>
  <si>
    <t>gültige Werte</t>
  </si>
  <si>
    <t>{</t>
  </si>
  <si>
    <t>"businessCustomerId": "1045784711",</t>
  </si>
  <si>
    <t>1..1</t>
  </si>
  <si>
    <t>businessCustomerId</t>
  </si>
  <si>
    <t>BusinessPartnerID</t>
  </si>
  <si>
    <t>CHAR</t>
  </si>
  <si>
    <t>=</t>
  </si>
  <si>
    <t>CR| evn_zp_zaehlpunktid &gt; ZP|evn_geschaeftspartnerid &gt; ACCOUNT</t>
  </si>
  <si>
    <t>cf87f85e-034f-ef11-bfe2-000d3a20680b</t>
  </si>
  <si>
    <t>"changeRequestCRMGuid":"cf87f85e-034f-ef11-bfe2-000d3a20680b",</t>
  </si>
  <si>
    <t>changeRequestCRMGuid</t>
  </si>
  <si>
    <t>CR|evn_changerequestid</t>
  </si>
  <si>
    <t>AT0020000000000000000000020000299</t>
  </si>
  <si>
    <t>"meteringPointId": "AT0020000000000000000000020000299",</t>
  </si>
  <si>
    <t>meteringPointId</t>
  </si>
  <si>
    <t>PointOfDeliveryExternalID</t>
  </si>
  <si>
    <t>EXT_UI</t>
  </si>
  <si>
    <t xml:space="preserve">CHANGEREQUEST|evn_zp_zaehlpunktid &gt;&gt; ZP | evn_name </t>
  </si>
  <si>
    <t>2 Großbuchstaben + 31 Ziffern</t>
  </si>
  <si>
    <t>2025-04-21T18:25:43-05:00</t>
  </si>
  <si>
    <t>"changeDate": "2025-04-21T18:25:43-05:00",</t>
  </si>
  <si>
    <t>changeDate</t>
  </si>
  <si>
    <t>DateTo</t>
  </si>
  <si>
    <t>DATS</t>
  </si>
  <si>
    <t>&lt;now&gt;</t>
  </si>
  <si>
    <t>0001</t>
  </si>
  <si>
    <t>"bankAccountIncoming": "0001",</t>
  </si>
  <si>
    <t>0..1</t>
  </si>
  <si>
    <t>bankAccountIncoming</t>
  </si>
  <si>
    <t>BV_ID_EZ</t>
  </si>
  <si>
    <t>EBVTY_KK</t>
  </si>
  <si>
    <t>CHANGEREQUEST|evn_zp_bankid_einganszahlung_newid  &gt;&gt; BANKKONTO | bankkontojegp</t>
  </si>
  <si>
    <t>L</t>
  </si>
  <si>
    <t>"paymentMethodIncoming": "L",</t>
  </si>
  <si>
    <t>paymentMethodIncoming</t>
  </si>
  <si>
    <t xml:space="preserve">Eingangszahlweg </t>
  </si>
  <si>
    <t>EZAWE_KK</t>
  </si>
  <si>
    <t>L = Lastschrift SEPA
NULL = Zahlschein</t>
  </si>
  <si>
    <t>See process Chart for Logic
"zahlungsarteingehend Sonderlocke"</t>
  </si>
  <si>
    <t>CHANGEREQUEST|evn_zp_zahlungsarteingehend_newcode</t>
  </si>
  <si>
    <t>D</t>
  </si>
  <si>
    <t>"reasonBlockingIncomingPayments": "D",</t>
  </si>
  <si>
    <t>reasonBlockingIncomingPayments</t>
  </si>
  <si>
    <t>ReasonBlockingIncomingPayments</t>
  </si>
  <si>
    <t>EZASP</t>
  </si>
  <si>
    <t>CHANGEREQUEST|evn_zp_sperrgrund_eingang_newcode</t>
  </si>
  <si>
    <t>"bankAccountOutgoing": "0001",</t>
  </si>
  <si>
    <t>bankAccountOutgoing</t>
  </si>
  <si>
    <t>BV_ID_AZ</t>
  </si>
  <si>
    <t>ABVTY_KK</t>
  </si>
  <si>
    <t>CHANGEREQUEST|evn_zp_bankid_ausganszahlung_newid &gt;&gt; BANKKONTO | bankkontojegp</t>
  </si>
  <si>
    <t>R</t>
  </si>
  <si>
    <t>"paymentMethodOutgoing": "R",</t>
  </si>
  <si>
    <t>paymentMethodOutgoing</t>
  </si>
  <si>
    <t>Ausgangszahlweg</t>
  </si>
  <si>
    <t>AZAWE_KK</t>
  </si>
  <si>
    <t>P = Postbaranweisung
R = Überweisung SEPA</t>
  </si>
  <si>
    <t>CHANGEREQUEST|evn_zp_zahlungsartausgehend_newcode</t>
  </si>
  <si>
    <t>"reasonBlockingOutgoingPayments": "D",</t>
  </si>
  <si>
    <t>reasonBlockingOutgoingPayments</t>
  </si>
  <si>
    <t>ReasonBlockingOutgoingPayments</t>
  </si>
  <si>
    <t>AZASP</t>
  </si>
  <si>
    <t>CHANGEREQUEST|evn_zp_sperrgrund_ausgang_newcode</t>
  </si>
  <si>
    <t>EV14</t>
  </si>
  <si>
    <t>"paymentCondition": "EV14",</t>
  </si>
  <si>
    <t>paymentCondition</t>
  </si>
  <si>
    <t>PaymentCondition</t>
  </si>
  <si>
    <t>KONDZAHL</t>
  </si>
  <si>
    <t>EV11 =	BUDAT: innerhalb von 45 Tg ohne Abzug
EV12=	13-16 1. nächst.M. sonst +16 Tag
EV13=	Sofort Fäofort Fällif
EV14=	BUDAT: innerhalb von 8 Tg ohne Abzug
EV20=	BUDAT: innerhalb von 20 Tg ohne Abzug
EV25=	BUDAT: innerhalb von 25 Tg ohne Abzug
EVN1=	BUDAT: innerhalb von 19 Tg ohne Abzug
EVN2=	BUDAT: 20. bis 4. - 16 Tg. ab 4.
EVN3=	BUDAT: innerhalb von 14 Tg ohne Abzug
EVN4=	BUDAT: innerhalb von 30 Tg ohne Abzug
EVN5=	CPUDAT: 10. d. FM bis 15 - 10. in 2 Mon.
EVN6=	CPUDAT: innerhalb von 22 Tg ohne Abzug
EVN7=	BUDAT: 27. bis 17. - 14. Tg. ab 17.
EVN8=	CPUDAT: fällig am 1. d. Folgem. o. Abzug
EVN9=	CPUDAT: fällig innerhalb 60 Tagen
EVNA=	BUDAT: 14 Tg bis 5. - 10. d. FM
PAK1	=CPUDAT: 1. d. FM bis 17.- 14 Tg. ab 17.</t>
  </si>
  <si>
    <t>CHANGEREQUEST|evn_zp_zahlungskondition_newcode</t>
  </si>
  <si>
    <t>"alternativeInvoiceRecipientId": "1045784711",</t>
  </si>
  <si>
    <t>alternativeInvoiceRecipientId</t>
  </si>
  <si>
    <t>InvoiceRecipientId</t>
  </si>
  <si>
    <t>ABWRH_KK</t>
  </si>
  <si>
    <t>CHANGEREQUEST| evn_zp_abweichenderrechnungempf_newid &gt;&gt; ACCOUNT evn_isugeschaeftspartnernummer</t>
  </si>
  <si>
    <t>"discountCycle ": "00",</t>
  </si>
  <si>
    <t xml:space="preserve">discountCycle </t>
  </si>
  <si>
    <t>Abschlagszyklus</t>
  </si>
  <si>
    <t>00 = Keine Abschläge
01 = Monatlicher Abstand der Abschläge
03 = Dreimonatlicher Abstand der Abschläge
06 = Sechsmonatlicher Abstand der Abschläge</t>
  </si>
  <si>
    <t>CHANGEREQUEST|evn_abschlagszyklus_newcode</t>
  </si>
  <si>
    <t>"alternativePayer": "1045784712",</t>
  </si>
  <si>
    <t>alternativePayer</t>
  </si>
  <si>
    <t>AlternativePayer</t>
  </si>
  <si>
    <t>CHANGEREQUEST| evn_zp_abweichenderzahler_newid &gt;&gt; ACCOUNT evn_isugeschaeftspartnernummer</t>
  </si>
  <si>
    <t>"alternativePayee": "1045784713"</t>
  </si>
  <si>
    <t>alternativePayee</t>
  </si>
  <si>
    <t>AlternativePayee</t>
  </si>
  <si>
    <t>CHANGEREQUEST| evn_zp_abweichenderzahlungsempf_newid &gt;&gt; ACCOUNT evn_isugeschaeftspartnernummer</t>
  </si>
  <si>
    <t>"dunningRecpientId": "1045784714",</t>
  </si>
  <si>
    <t>dunningRecpientId</t>
  </si>
  <si>
    <t>DunningRecipientId</t>
  </si>
  <si>
    <t>ABWMA</t>
  </si>
  <si>
    <t>CHANGEREQUEST|evn_evn_zp_abweichendermahnempf_newid &gt;&gt;ZAEHLPUNKT|evn_abweichendermahnempfaengerid &gt;&gt; ACCOUNT evn_isugeschaeftspartnernummer</t>
  </si>
  <si>
    <t>}</t>
  </si>
  <si>
    <t>ISU to Dynamcics 365 - Zahldaten response</t>
  </si>
  <si>
    <t>used</t>
  </si>
  <si>
    <t>prefix</t>
  </si>
  <si>
    <t>ISU_ID</t>
  </si>
  <si>
    <t>BusinessPartner</t>
  </si>
  <si>
    <t>zzzzzzzzzzzzzz</t>
  </si>
  <si>
    <t>MeteringPointCRMGuid</t>
  </si>
  <si>
    <t>ZCS_E_ZP_CRM_GUID</t>
  </si>
  <si>
    <t>ZAEHLPUNKT|evn_zaehlpunktid</t>
  </si>
  <si>
    <t>false</t>
  </si>
  <si>
    <t>ok</t>
  </si>
  <si>
    <t>BOOLEAN</t>
  </si>
  <si>
    <t>concatenate</t>
  </si>
  <si>
    <t>ZAEHLPUNKT|evn_isuresponse = concatenate "&lt;datetime today()&gt;+' - '&lt;ok&gt;+ ': ' + &lt;message&gt;"</t>
  </si>
  <si>
    <t>wird von ODATA-Service durchgereicht an CRM</t>
  </si>
  <si>
    <t>SAP BTP - Error while processing Request</t>
  </si>
  <si>
    <t>message</t>
  </si>
  <si>
    <t>evn_sperrgrund_eingangszahlungcode</t>
  </si>
  <si>
    <t>D = Dubios</t>
  </si>
  <si>
    <t>G = Gerichtliches Mahnverfahren</t>
  </si>
  <si>
    <t>G</t>
  </si>
  <si>
    <t>H = Empfänger verzogen</t>
  </si>
  <si>
    <t>H</t>
  </si>
  <si>
    <t>I = Insolvenz</t>
  </si>
  <si>
    <t xml:space="preserve">I </t>
  </si>
  <si>
    <t>K = Kontenklärung</t>
  </si>
  <si>
    <t>K</t>
  </si>
  <si>
    <t>L = Lieferant mit Avisverarbeitung</t>
  </si>
  <si>
    <t>N = Nicht behoben</t>
  </si>
  <si>
    <t xml:space="preserve">N </t>
  </si>
  <si>
    <t>R = Rechnungsorrektur erfolgt</t>
  </si>
  <si>
    <t>S = Zum Saldieren vorbereitet</t>
  </si>
  <si>
    <t>S</t>
  </si>
  <si>
    <t>T = Teilzahlungsansuchen folgt</t>
  </si>
  <si>
    <t>T</t>
  </si>
  <si>
    <t>U = Unbekannt</t>
  </si>
  <si>
    <t>U</t>
  </si>
  <si>
    <t>V = Kunde verstorben</t>
  </si>
  <si>
    <t>V</t>
  </si>
  <si>
    <t>Y = Rücklauf aktiv</t>
  </si>
  <si>
    <t>Y</t>
  </si>
  <si>
    <t>Z = Zum Inkasso</t>
  </si>
  <si>
    <t>Z</t>
  </si>
  <si>
    <t>evn_zahlungsartausgehendcode</t>
  </si>
  <si>
    <t>P = Postbaranweisung</t>
  </si>
  <si>
    <t>paymentMethodOutcoming</t>
  </si>
  <si>
    <t>P</t>
  </si>
  <si>
    <t>R = Überweisung SEPA</t>
  </si>
  <si>
    <t>evn_sperrgrund_ausgangszahlungcode</t>
  </si>
  <si>
    <t>reasonBlockingIOutgoingPayments</t>
  </si>
  <si>
    <t>evn_zahlungskonditioncode</t>
  </si>
  <si>
    <t>EV11 = BUDAT: innerhalb von 45 Tg ohne Abzug</t>
  </si>
  <si>
    <t>EV11</t>
  </si>
  <si>
    <t>EV12 = 13-16 i. nächst. M. sonst +16 Tag</t>
  </si>
  <si>
    <t>EV12</t>
  </si>
  <si>
    <t>EV13 = Sofort Fällig</t>
  </si>
  <si>
    <t>EV13</t>
  </si>
  <si>
    <t>EV14 = BUDAT: innerhalb von 8 Tg ohne Abzug</t>
  </si>
  <si>
    <t>EV20 = BUDAT: innerhalb von 20 Tg ohne Abzug</t>
  </si>
  <si>
    <t>EV20</t>
  </si>
  <si>
    <t>EV25 = BUDAT: innerhalb von 25 Tg ohne Abzug</t>
  </si>
  <si>
    <t>EV25</t>
  </si>
  <si>
    <t>EVN1 = BUDAT: innerhalb von 19 Tg ohne Abzug</t>
  </si>
  <si>
    <t>EVN1</t>
  </si>
  <si>
    <t>EVN2 = BUDAT: 20. bis 4. - 16 Tg. ab 4.</t>
  </si>
  <si>
    <t>EVN2</t>
  </si>
  <si>
    <t>EVN3 = BUDAT: innerhalb von 14 Tg ohne Abzug</t>
  </si>
  <si>
    <t>EVN3</t>
  </si>
  <si>
    <t>EVN4 = BUDAT: innerhalb von 30 Tg gen ohne Abzug</t>
  </si>
  <si>
    <t>EVN4</t>
  </si>
  <si>
    <t>EVN5 = CPUDAT: 10. d. FM bis 15 –10. in 2 Mon.</t>
  </si>
  <si>
    <t>EVN5</t>
  </si>
  <si>
    <t>EVN6 = CPUDAT: innerhalb von 22 Tg ohne Abzug</t>
  </si>
  <si>
    <t>EVN6</t>
  </si>
  <si>
    <t>EVN7 = BUDAT: 27. bis 17. - 14. Tg. ab 17.</t>
  </si>
  <si>
    <t>EVN7</t>
  </si>
  <si>
    <t xml:space="preserve">ENV8 = CPUDAT: fällig am 1. d. Folgem. o. Abzug </t>
  </si>
  <si>
    <t>ENV8</t>
  </si>
  <si>
    <t>EVN9 = CPUDAT: fällig innerhalb 60 Tagen</t>
  </si>
  <si>
    <t>EVN9</t>
  </si>
  <si>
    <t>EVNA = BUDAT: 14 Tg bis 5. - 10 d. FM</t>
  </si>
  <si>
    <t>EVNA</t>
  </si>
  <si>
    <t>PAK1 = CPUDAT 1. d. FM bis 17.- 14. Tg ab 17.</t>
  </si>
  <si>
    <t>PAK1</t>
  </si>
  <si>
    <t>Middleware to ISU - PaymentCondition</t>
  </si>
  <si>
    <t>Benerkung</t>
  </si>
  <si>
    <t xml:space="preserve">GP </t>
  </si>
  <si>
    <t>ZP zur Ermittlung des VK</t>
  </si>
  <si>
    <t>"meteringPointId": "AT0020000000000000000000020000299"</t>
  </si>
  <si>
    <t>Datum dient der Ermittlung des Vertrages</t>
  </si>
  <si>
    <t>"DateTo": "2025-04-21T18:25:43-05:00",</t>
  </si>
  <si>
    <t>Wird eine IBAN Mitgegben wird diese als neue BV Angelegt am GP und in den zugeordnetetn VK verwendet  abhängig von Parameter Eingang ausgang
kein abweichender Zahler</t>
  </si>
  <si>
    <t>AT726000000001049462</t>
  </si>
  <si>
    <t>"IBAN": "AT726000000001049462",</t>
  </si>
  <si>
    <t>IBAN</t>
  </si>
  <si>
    <t>BU_IBAN</t>
  </si>
  <si>
    <t>Wenn nur IBAN geliefert wird, werden Eingangs und Ausganzahlweg aktualisiert</t>
  </si>
  <si>
    <t>bankkontonummer</t>
  </si>
  <si>
    <t>Bankschlüssel</t>
  </si>
  <si>
    <t xml:space="preserve">CHAR </t>
  </si>
  <si>
    <t>Max Mustermann</t>
  </si>
  <si>
    <t>"NameBankPerson": "Maria van der Poll",</t>
  </si>
  <si>
    <t>0.1</t>
  </si>
  <si>
    <t>Name des Kontonihabers</t>
  </si>
  <si>
    <t>NameBAnkPerson</t>
  </si>
  <si>
    <t>BU_KOINH</t>
  </si>
  <si>
    <t>"DateFrom": "2025-04-21T18:25:43-05:00",</t>
  </si>
  <si>
    <t>Gültigkeitsbeginn</t>
  </si>
  <si>
    <t>DateFrom</t>
  </si>
  <si>
    <t>BK_VALID_FROM</t>
  </si>
  <si>
    <t>FKKVKP-EBVTY</t>
  </si>
  <si>
    <t>"BV_ID_EZ": "0001",</t>
  </si>
  <si>
    <t>Banverbindung Eingang</t>
  </si>
  <si>
    <t>Eingangszahlweg kann mit bestehender BankId aktualisiert werden</t>
  </si>
  <si>
    <t>"Eingangszahlweg: "L",</t>
  </si>
  <si>
    <t>Eingangszahlweg</t>
  </si>
  <si>
    <t xml:space="preserve">L = Lastschrift SEPA
</t>
  </si>
  <si>
    <t>FKKVKP-ABVTY</t>
  </si>
  <si>
    <t>"BV_ID_AZ": "0001",</t>
  </si>
  <si>
    <t>Bankverbindung Ausgang</t>
  </si>
  <si>
    <t>Ausgangsszahlweg kann mit bestehender BankId aktualisiert werden</t>
  </si>
  <si>
    <t>"Ausgangszahlweg: "R",</t>
  </si>
  <si>
    <t>"PaymentCondition": "EV14",</t>
  </si>
  <si>
    <t>Zahlungskonditionen</t>
  </si>
  <si>
    <t>Nicht Mahnempfänger oder ähnliches GP muss vorher angelegt sein
FKKVKP-ABWRH</t>
  </si>
  <si>
    <t xml:space="preserve"> ID abweichener Rechnungsempfänger</t>
  </si>
  <si>
    <t>BusinessPartnerid</t>
  </si>
  <si>
    <t>EVER-ABSZYKL</t>
  </si>
  <si>
    <t>"Abschlagszyklus": "00",</t>
  </si>
  <si>
    <t xml:space="preserve">Abschlagszyklus </t>
  </si>
  <si>
    <t>"AlternativePayer": {</t>
  </si>
  <si>
    <t xml:space="preserve"> ID abweichener Zahler</t>
  </si>
  <si>
    <t>},</t>
  </si>
  <si>
    <t>"AlternativePayee": {</t>
  </si>
  <si>
    <t xml:space="preserve"> ID abweichener Zahlungsempfänger</t>
  </si>
  <si>
    <t>"Ausgangszahlweg: "R"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</si>
</sst>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theme="1"/>
      <name val="Aptos Narrow"/>
      <family val="2"/>
      <scheme val="minor"/>
    </font>
    <font>
      <b/>
      <sz val="18"/>
      <color rgb="FFFFFFFF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theme="0" tint="-0.14999847407452621"/>
      <name val="Aptos Narrow"/>
      <family val="2"/>
      <scheme val="minor"/>
    </font>
    <font>
      <i/>
      <sz val="11"/>
      <color theme="9" tint="-0.249977111117893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 tint="-0.249977111117893"/>
      <name val="Calibri"/>
      <family val="2"/>
    </font>
    <font>
      <sz val="11"/>
      <color theme="0" tint="-0.24997711111789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sz val="11"/>
      <color rgb="FFFFFFFF"/>
      <name val="Arial"/>
    </font>
    <font>
      <sz val="11"/>
      <color rgb="FF000000"/>
      <name val="Arial"/>
    </font>
    <font>
      <sz val="10"/>
      <color rgb="FF000000"/>
      <name val="Arial"/>
    </font>
    <font>
      <b/>
      <sz val="11"/>
      <color rgb="FF000000"/>
      <name val="Calibri"/>
      <family val="2"/>
    </font>
    <font>
      <b/>
      <sz val="16"/>
      <color rgb="FF757171"/>
      <name val="Calibri"/>
      <family val="2"/>
    </font>
    <font>
      <b/>
      <sz val="14"/>
      <color rgb="FF757171"/>
      <name val="Calibri"/>
      <family val="2"/>
    </font>
    <font>
      <sz val="11"/>
      <name val="Calibri"/>
      <family val="2"/>
    </font>
    <font>
      <strike/>
      <sz val="11"/>
      <color rgb="FF000000"/>
      <name val="Calibri"/>
      <family val="2"/>
    </font>
    <font>
      <sz val="11"/>
      <color rgb="FF000000"/>
      <name val="Calibri"/>
      <charset val="1"/>
    </font>
    <font>
      <sz val="8"/>
      <name val="Arial"/>
      <family val="2"/>
    </font>
    <font>
      <b/>
      <sz val="18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Aptos Narrow"/>
    </font>
    <font>
      <i/>
      <sz val="11"/>
      <color theme="2" tint="-9.9978637043366805E-2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Aptos Narrow"/>
    </font>
    <font>
      <sz val="11"/>
      <color rgb="FF000000"/>
      <name val="Consolas"/>
      <charset val="1"/>
    </font>
    <font>
      <b/>
      <sz val="11"/>
      <color rgb="FF000000"/>
      <name val="Aptos Narrow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color rgb="FF000000"/>
      <name val="Aptos Narrow"/>
    </font>
    <font>
      <sz val="11"/>
      <color rgb="FF003366"/>
      <name val="Consolas"/>
      <charset val="1"/>
    </font>
    <font>
      <sz val="11"/>
      <color rgb="FF000000"/>
      <name val="Aptos Narrow"/>
      <family val="2"/>
    </font>
    <font>
      <sz val="11"/>
      <color rgb="FF242424"/>
      <name val="Aptos Narrow"/>
      <charset val="1"/>
    </font>
  </fonts>
  <fills count="12">
    <fill>
      <patternFill patternType="none"/>
    </fill>
    <fill>
      <patternFill patternType="gray125"/>
    </fill>
    <fill>
      <patternFill patternType="solid">
        <fgColor rgb="FF548235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95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3" fillId="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/>
    </xf>
    <xf numFmtId="0" fontId="4" fillId="4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/>
    <xf numFmtId="0" fontId="2" fillId="5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5" fillId="5" borderId="0" xfId="0" applyFont="1" applyFill="1"/>
    <xf numFmtId="0" fontId="9" fillId="0" borderId="0" xfId="0" applyFont="1" applyAlignment="1">
      <alignment horizontal="center" vertical="center"/>
    </xf>
    <xf numFmtId="0" fontId="10" fillId="0" borderId="0" xfId="0" applyFont="1"/>
    <xf numFmtId="0" fontId="0" fillId="0" borderId="0" xfId="0" quotePrefix="1"/>
    <xf numFmtId="0" fontId="2" fillId="0" borderId="0" xfId="0" applyFont="1" applyAlignment="1">
      <alignment horizontal="left"/>
    </xf>
    <xf numFmtId="0" fontId="12" fillId="0" borderId="0" xfId="0" applyFont="1"/>
    <xf numFmtId="0" fontId="2" fillId="0" borderId="0" xfId="0" applyFont="1"/>
    <xf numFmtId="0" fontId="14" fillId="7" borderId="1" xfId="0" applyFont="1" applyFill="1" applyBorder="1"/>
    <xf numFmtId="0" fontId="14" fillId="7" borderId="2" xfId="0" applyFont="1" applyFill="1" applyBorder="1"/>
    <xf numFmtId="0" fontId="14" fillId="7" borderId="3" xfId="0" applyFont="1" applyFill="1" applyBorder="1"/>
    <xf numFmtId="0" fontId="15" fillId="0" borderId="4" xfId="0" applyFont="1" applyBorder="1"/>
    <xf numFmtId="0" fontId="15" fillId="0" borderId="5" xfId="0" applyFont="1" applyBorder="1"/>
    <xf numFmtId="0" fontId="16" fillId="0" borderId="5" xfId="0" applyFont="1" applyBorder="1"/>
    <xf numFmtId="0" fontId="16" fillId="0" borderId="6" xfId="0" applyFont="1" applyBorder="1"/>
    <xf numFmtId="0" fontId="2" fillId="0" borderId="7" xfId="0" applyFont="1" applyBorder="1"/>
    <xf numFmtId="0" fontId="11" fillId="0" borderId="6" xfId="1" applyFill="1" applyBorder="1" applyAlignment="1"/>
    <xf numFmtId="0" fontId="2" fillId="0" borderId="8" xfId="0" applyFont="1" applyBorder="1"/>
    <xf numFmtId="0" fontId="17" fillId="0" borderId="9" xfId="0" applyFont="1" applyBorder="1"/>
    <xf numFmtId="0" fontId="17" fillId="0" borderId="10" xfId="0" applyFont="1" applyBorder="1"/>
    <xf numFmtId="0" fontId="2" fillId="0" borderId="10" xfId="0" applyFont="1" applyBorder="1"/>
    <xf numFmtId="0" fontId="2" fillId="0" borderId="11" xfId="0" applyFont="1" applyBorder="1" applyAlignment="1">
      <alignment wrapText="1"/>
    </xf>
    <xf numFmtId="0" fontId="18" fillId="0" borderId="0" xfId="0" applyFont="1"/>
    <xf numFmtId="0" fontId="19" fillId="0" borderId="0" xfId="0" applyFont="1"/>
    <xf numFmtId="0" fontId="17" fillId="0" borderId="0" xfId="0" applyFont="1"/>
    <xf numFmtId="0" fontId="2" fillId="0" borderId="0" xfId="0" applyFont="1" applyAlignment="1">
      <alignment wrapText="1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left" vertical="center"/>
    </xf>
    <xf numFmtId="0" fontId="2" fillId="8" borderId="0" xfId="0" applyFont="1" applyFill="1" applyAlignment="1">
      <alignment horizontal="center" vertical="center"/>
    </xf>
    <xf numFmtId="0" fontId="22" fillId="0" borderId="0" xfId="0" applyFont="1"/>
    <xf numFmtId="49" fontId="15" fillId="0" borderId="5" xfId="0" applyNumberFormat="1" applyFont="1" applyBorder="1"/>
    <xf numFmtId="14" fontId="16" fillId="0" borderId="5" xfId="0" applyNumberFormat="1" applyFont="1" applyBorder="1"/>
    <xf numFmtId="0" fontId="2" fillId="0" borderId="5" xfId="0" applyFont="1" applyBorder="1"/>
    <xf numFmtId="0" fontId="2" fillId="0" borderId="2" xfId="0" applyFont="1" applyBorder="1"/>
    <xf numFmtId="0" fontId="23" fillId="0" borderId="1" xfId="0" applyFont="1" applyBorder="1" applyAlignment="1">
      <alignment wrapText="1"/>
    </xf>
    <xf numFmtId="0" fontId="20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23" fillId="0" borderId="4" xfId="0" applyFont="1" applyBorder="1" applyAlignment="1">
      <alignment wrapText="1"/>
    </xf>
    <xf numFmtId="0" fontId="23" fillId="0" borderId="12" xfId="0" applyFont="1" applyBorder="1" applyAlignment="1">
      <alignment wrapText="1"/>
    </xf>
    <xf numFmtId="0" fontId="2" fillId="0" borderId="12" xfId="0" applyFont="1" applyBorder="1"/>
    <xf numFmtId="0" fontId="20" fillId="0" borderId="12" xfId="0" applyFont="1" applyBorder="1" applyAlignment="1">
      <alignment horizontal="left" vertical="center" wrapText="1"/>
    </xf>
    <xf numFmtId="0" fontId="24" fillId="9" borderId="0" xfId="0" applyFont="1" applyFill="1" applyAlignment="1">
      <alignment horizontal="left" vertical="center"/>
    </xf>
    <xf numFmtId="0" fontId="24" fillId="9" borderId="0" xfId="0" applyFont="1" applyFill="1" applyAlignment="1">
      <alignment vertical="center"/>
    </xf>
    <xf numFmtId="0" fontId="0" fillId="9" borderId="0" xfId="0" applyFill="1"/>
    <xf numFmtId="0" fontId="25" fillId="10" borderId="0" xfId="0" applyFont="1" applyFill="1" applyAlignment="1">
      <alignment horizontal="center" vertical="center" wrapText="1"/>
    </xf>
    <xf numFmtId="0" fontId="26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28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9" fillId="11" borderId="1" xfId="0" applyFont="1" applyFill="1" applyBorder="1"/>
    <xf numFmtId="0" fontId="29" fillId="0" borderId="1" xfId="0" applyFont="1" applyBorder="1"/>
    <xf numFmtId="0" fontId="0" fillId="0" borderId="1" xfId="0" applyBorder="1"/>
    <xf numFmtId="0" fontId="30" fillId="0" borderId="0" xfId="0" applyFont="1"/>
    <xf numFmtId="0" fontId="31" fillId="0" borderId="1" xfId="0" applyFont="1" applyBorder="1"/>
    <xf numFmtId="0" fontId="32" fillId="0" borderId="1" xfId="0" applyFont="1" applyBorder="1"/>
    <xf numFmtId="0" fontId="32" fillId="0" borderId="1" xfId="0" applyFont="1" applyBorder="1" applyAlignment="1">
      <alignment wrapText="1"/>
    </xf>
    <xf numFmtId="0" fontId="33" fillId="0" borderId="1" xfId="0" applyFont="1" applyBorder="1" applyAlignment="1">
      <alignment horizontal="left" vertical="center"/>
    </xf>
    <xf numFmtId="0" fontId="32" fillId="11" borderId="1" xfId="0" applyFont="1" applyFill="1" applyBorder="1"/>
    <xf numFmtId="0" fontId="0" fillId="11" borderId="1" xfId="0" applyFill="1" applyBorder="1"/>
    <xf numFmtId="0" fontId="27" fillId="11" borderId="1" xfId="0" applyFont="1" applyFill="1" applyBorder="1" applyAlignment="1">
      <alignment horizontal="center" vertical="center" wrapText="1"/>
    </xf>
    <xf numFmtId="0" fontId="28" fillId="11" borderId="1" xfId="0" applyFont="1" applyFill="1" applyBorder="1"/>
    <xf numFmtId="0" fontId="0" fillId="11" borderId="1" xfId="0" applyFill="1" applyBorder="1" applyAlignment="1">
      <alignment horizontal="left" vertical="center"/>
    </xf>
    <xf numFmtId="0" fontId="0" fillId="11" borderId="1" xfId="0" applyFill="1" applyBorder="1" applyAlignment="1">
      <alignment horizontal="center" vertical="center"/>
    </xf>
    <xf numFmtId="0" fontId="11" fillId="0" borderId="1" xfId="1" applyBorder="1"/>
    <xf numFmtId="0" fontId="34" fillId="0" borderId="1" xfId="0" applyFont="1" applyBorder="1" applyAlignment="1">
      <alignment horizontal="left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/>
    <xf numFmtId="0" fontId="34" fillId="0" borderId="1" xfId="0" applyFont="1" applyBorder="1"/>
    <xf numFmtId="0" fontId="0" fillId="0" borderId="0" xfId="0" applyAlignment="1">
      <alignment horizontal="center"/>
    </xf>
    <xf numFmtId="0" fontId="36" fillId="0" borderId="0" xfId="0" applyFont="1"/>
    <xf numFmtId="0" fontId="11" fillId="0" borderId="0" xfId="1" applyAlignment="1">
      <alignment horizontal="center" vertical="center"/>
    </xf>
    <xf numFmtId="0" fontId="37" fillId="0" borderId="0" xfId="0" applyFont="1"/>
    <xf numFmtId="0" fontId="38" fillId="0" borderId="0" xfId="0" applyFont="1"/>
    <xf numFmtId="49" fontId="15" fillId="0" borderId="4" xfId="0" applyNumberFormat="1" applyFont="1" applyBorder="1"/>
    <xf numFmtId="0" fontId="5" fillId="0" borderId="0" xfId="0" applyFont="1" applyAlignment="1">
      <alignment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24" fillId="9" borderId="0" xfId="0" applyFont="1" applyFill="1" applyAlignment="1">
      <alignment horizontal="left" vertical="center"/>
    </xf>
    <xf numFmtId="0" fontId="13" fillId="6" borderId="0" xfId="0" applyFont="1" applyFill="1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ckert, Thomas" id="{3A6FB06E-EA92-4616-8580-8680B0B7148D}" userId="S::thomas.eckert@natuvion.com::e6045dc4-3d80-428c-bb05-11bf634bcae9" providerId="AD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8" dT="2024-12-20T10:02:26.97" personId="{3A6FB06E-EA92-4616-8580-8680B0B7148D}" id="{CEFED952-C913-4159-822F-864FEC040C2D}">
    <text xml:space="preserve">Was ist mit den alten SEPA Mandate
</text>
  </threadedComment>
</ThreadedComment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A89F2-88DA-462D-B09C-76F3B4376EB1}">
  <sheetPr>
    <tabColor rgb="FF0070C0"/>
  </sheetPr>
  <dimension ref="A1:I12"/>
  <sheetViews>
    <sheetView showGridLines="0" workbookViewId="0">
      <selection activeCell="B10" sqref="B10"/>
    </sheetView>
  </sheetViews>
  <sheetFormatPr defaultColWidth="8.7109375" defaultRowHeight="14.45"/>
  <cols>
    <col min="1" max="1" width="55.7109375" bestFit="1" customWidth="1"/>
    <col min="2" max="2" width="11.85546875" bestFit="1" customWidth="1"/>
    <col min="3" max="3" width="59.5703125" bestFit="1" customWidth="1"/>
    <col min="4" max="4" width="39.42578125" bestFit="1" customWidth="1"/>
    <col min="5" max="5" width="29.5703125" bestFit="1" customWidth="1"/>
  </cols>
  <sheetData>
    <row r="1" spans="1:9" ht="18.600000000000001">
      <c r="A1" s="18" t="s">
        <v>0</v>
      </c>
      <c r="B1" s="18"/>
      <c r="C1" s="18"/>
      <c r="D1" s="19"/>
      <c r="E1" s="19"/>
      <c r="F1" s="19"/>
      <c r="G1" s="19"/>
      <c r="H1" s="19"/>
      <c r="I1" s="19"/>
    </row>
    <row r="2" spans="1:9" ht="15.6">
      <c r="A2" s="94" t="s">
        <v>1</v>
      </c>
      <c r="B2" s="94"/>
      <c r="C2" s="94"/>
      <c r="D2" s="94"/>
      <c r="E2" s="94"/>
      <c r="F2" s="94"/>
      <c r="G2" s="94"/>
      <c r="H2" s="94"/>
      <c r="I2" s="94"/>
    </row>
    <row r="3" spans="1:9">
      <c r="A3" s="19"/>
      <c r="B3" s="19"/>
      <c r="C3" s="19"/>
      <c r="D3" s="19"/>
      <c r="E3" s="19"/>
      <c r="F3" s="19"/>
      <c r="G3" s="19"/>
      <c r="H3" s="19"/>
      <c r="I3" s="19"/>
    </row>
    <row r="4" spans="1:9">
      <c r="A4" s="20" t="s">
        <v>2</v>
      </c>
      <c r="B4" s="21" t="s">
        <v>3</v>
      </c>
      <c r="C4" s="21" t="s">
        <v>4</v>
      </c>
      <c r="D4" s="21" t="s">
        <v>5</v>
      </c>
      <c r="E4" s="22" t="s">
        <v>6</v>
      </c>
      <c r="F4" s="19"/>
      <c r="G4" s="19"/>
      <c r="H4" s="19"/>
      <c r="I4" s="19"/>
    </row>
    <row r="5" spans="1:9">
      <c r="A5" s="23" t="s">
        <v>7</v>
      </c>
      <c r="B5" s="24" t="s">
        <v>8</v>
      </c>
      <c r="C5" s="25" t="s">
        <v>9</v>
      </c>
      <c r="D5" s="26" t="s">
        <v>10</v>
      </c>
      <c r="E5" s="27" t="s">
        <v>11</v>
      </c>
      <c r="F5" s="19"/>
      <c r="G5" s="19"/>
      <c r="H5" s="19"/>
      <c r="I5" s="19"/>
    </row>
    <row r="6" spans="1:9">
      <c r="A6" s="23" t="s">
        <v>12</v>
      </c>
      <c r="B6" s="42" t="s">
        <v>13</v>
      </c>
      <c r="C6" s="25" t="s">
        <v>14</v>
      </c>
      <c r="D6" s="28"/>
      <c r="E6" s="29" t="s">
        <v>15</v>
      </c>
      <c r="F6" s="19"/>
      <c r="G6" s="19"/>
      <c r="H6" s="19"/>
      <c r="I6" s="19"/>
    </row>
    <row r="7" spans="1:9" ht="15">
      <c r="A7" s="89" t="s">
        <v>16</v>
      </c>
      <c r="B7" s="43">
        <v>45708</v>
      </c>
      <c r="C7" s="25" t="s">
        <v>17</v>
      </c>
      <c r="D7" s="26" t="s">
        <v>10</v>
      </c>
      <c r="E7" s="29" t="s">
        <v>11</v>
      </c>
      <c r="F7" s="19"/>
      <c r="G7" s="19"/>
      <c r="H7" s="19"/>
      <c r="I7" s="19"/>
    </row>
    <row r="8" spans="1:9" ht="15">
      <c r="A8" s="89" t="s">
        <v>18</v>
      </c>
      <c r="B8" s="43">
        <v>45709</v>
      </c>
      <c r="C8" s="25" t="s">
        <v>19</v>
      </c>
      <c r="D8" s="26" t="s">
        <v>10</v>
      </c>
      <c r="E8" s="29" t="s">
        <v>20</v>
      </c>
      <c r="F8" s="19"/>
      <c r="G8" s="19"/>
      <c r="H8" s="19"/>
      <c r="I8" s="19"/>
    </row>
    <row r="9" spans="1:9" ht="15">
      <c r="A9" s="89" t="s">
        <v>21</v>
      </c>
      <c r="B9" s="43">
        <v>45715</v>
      </c>
      <c r="C9" s="25" t="s">
        <v>22</v>
      </c>
      <c r="D9" s="26" t="s">
        <v>10</v>
      </c>
      <c r="E9" s="29" t="s">
        <v>15</v>
      </c>
      <c r="F9" s="19"/>
      <c r="G9" s="19"/>
      <c r="H9" s="19"/>
      <c r="I9" s="19"/>
    </row>
    <row r="10" spans="1:9" ht="15">
      <c r="A10" s="89" t="s">
        <v>23</v>
      </c>
      <c r="B10" s="43">
        <v>45755</v>
      </c>
      <c r="C10" s="25" t="s">
        <v>24</v>
      </c>
      <c r="D10" s="26" t="s">
        <v>10</v>
      </c>
      <c r="E10" s="29" t="s">
        <v>15</v>
      </c>
      <c r="F10" s="19"/>
      <c r="G10" s="19"/>
      <c r="H10" s="19"/>
      <c r="I10" s="19"/>
    </row>
    <row r="11" spans="1:9">
      <c r="A11" s="19"/>
      <c r="B11" s="19"/>
      <c r="C11" s="19"/>
      <c r="D11" s="19"/>
      <c r="E11" s="19"/>
      <c r="F11" s="19"/>
      <c r="G11" s="19"/>
      <c r="H11" s="19"/>
      <c r="I11" s="19"/>
    </row>
    <row r="12" spans="1:9">
      <c r="A12" s="19"/>
      <c r="B12" s="19"/>
      <c r="C12" s="19"/>
      <c r="D12" s="19"/>
      <c r="E12" s="19"/>
      <c r="F12" s="19"/>
      <c r="G12" s="19"/>
      <c r="H12" s="19"/>
      <c r="I12" s="19"/>
    </row>
  </sheetData>
  <mergeCells count="1">
    <mergeCell ref="A2:I2"/>
  </mergeCells>
  <pageMargins left="0.7" right="0.7" top="0.75" bottom="0.75" header="0.3" footer="0.3"/>
  <headerFooter>
    <oddFooter>&amp;L_x000D_&amp;1#&amp;"Aptos"&amp;10&amp;K000000 TLP:AMBER - vertraulich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E23A7-F78B-44FE-9A15-38B855B81049}">
  <dimension ref="A1:B15"/>
  <sheetViews>
    <sheetView workbookViewId="0">
      <selection activeCell="B23" sqref="B23"/>
    </sheetView>
  </sheetViews>
  <sheetFormatPr defaultColWidth="8.7109375" defaultRowHeight="14.45"/>
  <cols>
    <col min="2" max="2" width="93.85546875" customWidth="1"/>
  </cols>
  <sheetData>
    <row r="1" spans="1:2">
      <c r="A1" s="19"/>
      <c r="B1" s="19"/>
    </row>
    <row r="2" spans="1:2">
      <c r="A2" s="19"/>
      <c r="B2" s="19"/>
    </row>
    <row r="3" spans="1:2">
      <c r="A3" s="19"/>
      <c r="B3" s="19" t="s">
        <v>25</v>
      </c>
    </row>
    <row r="4" spans="1:2">
      <c r="A4" s="19"/>
      <c r="B4" s="19" t="s">
        <v>26</v>
      </c>
    </row>
    <row r="5" spans="1:2">
      <c r="A5" s="19"/>
      <c r="B5" s="19" t="s">
        <v>27</v>
      </c>
    </row>
    <row r="6" spans="1:2">
      <c r="A6" s="19"/>
      <c r="B6" s="19" t="s">
        <v>28</v>
      </c>
    </row>
    <row r="7" spans="1:2">
      <c r="A7" s="19"/>
      <c r="B7" s="19"/>
    </row>
    <row r="8" spans="1:2">
      <c r="A8" s="19"/>
      <c r="B8" s="19"/>
    </row>
    <row r="9" spans="1:2">
      <c r="A9" s="19"/>
      <c r="B9" s="30" t="s">
        <v>29</v>
      </c>
    </row>
    <row r="10" spans="1:2">
      <c r="A10" s="19"/>
      <c r="B10" s="31" t="s">
        <v>30</v>
      </c>
    </row>
    <row r="11" spans="1:2">
      <c r="A11" s="19"/>
      <c r="B11" s="32" t="s">
        <v>10</v>
      </c>
    </row>
    <row r="12" spans="1:2">
      <c r="A12" s="19"/>
      <c r="B12" s="32" t="s">
        <v>31</v>
      </c>
    </row>
    <row r="13" spans="1:2">
      <c r="A13" s="19"/>
      <c r="B13" s="32" t="s">
        <v>32</v>
      </c>
    </row>
    <row r="14" spans="1:2">
      <c r="A14" s="19"/>
      <c r="B14" s="32" t="s">
        <v>10</v>
      </c>
    </row>
    <row r="15" spans="1:2" ht="72.599999999999994">
      <c r="A15" s="19"/>
      <c r="B15" s="33" t="s">
        <v>33</v>
      </c>
    </row>
  </sheetData>
  <pageMargins left="0.7" right="0.7" top="0.75" bottom="0.75" header="0.3" footer="0.3"/>
  <headerFooter>
    <oddFooter>&amp;L_x000D_&amp;1#&amp;"Aptos"&amp;10&amp;K000000 TLP:AMBER - vertraulich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6940D-ABAE-4F4C-8C22-FBF1A2A5C4A7}">
  <dimension ref="A1:C10"/>
  <sheetViews>
    <sheetView showGridLines="0" workbookViewId="0">
      <selection activeCell="C16" sqref="C16"/>
    </sheetView>
  </sheetViews>
  <sheetFormatPr defaultColWidth="8.7109375" defaultRowHeight="14.45"/>
  <cols>
    <col min="1" max="1" width="3" customWidth="1"/>
    <col min="2" max="2" width="2.7109375" bestFit="1" customWidth="1"/>
    <col min="3" max="3" width="169.42578125" bestFit="1" customWidth="1"/>
  </cols>
  <sheetData>
    <row r="1" spans="1:3" ht="21">
      <c r="A1" s="19"/>
      <c r="B1" s="19"/>
      <c r="C1" s="34" t="s">
        <v>34</v>
      </c>
    </row>
    <row r="2" spans="1:3">
      <c r="A2" s="19"/>
      <c r="B2" s="19"/>
      <c r="C2" s="19"/>
    </row>
    <row r="3" spans="1:3" ht="18.600000000000001">
      <c r="A3" s="19"/>
      <c r="B3" s="35" t="s">
        <v>35</v>
      </c>
      <c r="C3" s="36" t="s">
        <v>36</v>
      </c>
    </row>
    <row r="4" spans="1:3" ht="18.600000000000001">
      <c r="A4" s="19"/>
      <c r="B4" s="35" t="s">
        <v>35</v>
      </c>
      <c r="C4" s="36" t="s">
        <v>37</v>
      </c>
    </row>
    <row r="5" spans="1:3" ht="18.600000000000001">
      <c r="A5" s="19"/>
      <c r="B5" s="35" t="s">
        <v>35</v>
      </c>
      <c r="C5" s="36" t="s">
        <v>38</v>
      </c>
    </row>
    <row r="6" spans="1:3" ht="18.600000000000001">
      <c r="A6" s="19"/>
      <c r="B6" s="35" t="s">
        <v>35</v>
      </c>
      <c r="C6" s="36" t="s">
        <v>39</v>
      </c>
    </row>
    <row r="7" spans="1:3" ht="18.600000000000001">
      <c r="A7" s="19"/>
      <c r="B7" s="35" t="s">
        <v>35</v>
      </c>
      <c r="C7" s="36" t="s">
        <v>40</v>
      </c>
    </row>
    <row r="8" spans="1:3" ht="18.600000000000001">
      <c r="A8" s="19"/>
      <c r="B8" s="35" t="s">
        <v>35</v>
      </c>
      <c r="C8" s="19" t="s">
        <v>41</v>
      </c>
    </row>
    <row r="9" spans="1:3" ht="18.600000000000001">
      <c r="A9" s="19"/>
      <c r="B9" s="35" t="s">
        <v>35</v>
      </c>
      <c r="C9" s="36" t="s">
        <v>42</v>
      </c>
    </row>
    <row r="10" spans="1:3" ht="30">
      <c r="A10" s="19"/>
      <c r="B10" s="35" t="s">
        <v>35</v>
      </c>
      <c r="C10" s="37" t="s">
        <v>43</v>
      </c>
    </row>
  </sheetData>
  <pageMargins left="0.7" right="0.7" top="0.75" bottom="0.75" header="0.3" footer="0.3"/>
  <headerFooter>
    <oddFooter>&amp;L_x000D_&amp;1#&amp;"Aptos"&amp;10&amp;K000000 TLP:AMBER - vertraulich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5A00D-231A-4BD8-874E-25D485D92AF2}">
  <dimension ref="A1:Q23"/>
  <sheetViews>
    <sheetView tabSelected="1" workbookViewId="0">
      <selection activeCell="G16" sqref="G16"/>
    </sheetView>
  </sheetViews>
  <sheetFormatPr defaultColWidth="11.42578125" defaultRowHeight="15" customHeight="1"/>
  <cols>
    <col min="1" max="2" width="8" customWidth="1"/>
    <col min="3" max="3" width="23.5703125" customWidth="1"/>
    <col min="4" max="4" width="37.42578125" customWidth="1"/>
    <col min="5" max="5" width="60.7109375" customWidth="1"/>
    <col min="6" max="6" width="7.140625" customWidth="1"/>
    <col min="7" max="7" width="36" customWidth="1"/>
    <col min="8" max="8" width="33.42578125" customWidth="1"/>
    <col min="9" max="9" width="24.42578125" customWidth="1"/>
    <col min="10" max="11" width="9.140625"/>
    <col min="12" max="12" width="42" customWidth="1"/>
    <col min="13" max="13" width="9.140625"/>
    <col min="14" max="14" width="33.140625" customWidth="1"/>
    <col min="15" max="15" width="92.7109375" customWidth="1"/>
    <col min="16" max="16" width="44.140625" customWidth="1"/>
  </cols>
  <sheetData>
    <row r="1" spans="1:17" ht="23.45">
      <c r="A1" s="91" t="s">
        <v>44</v>
      </c>
      <c r="B1" s="91"/>
      <c r="C1" s="91"/>
      <c r="D1" s="91"/>
      <c r="E1" s="91"/>
      <c r="F1" s="91"/>
      <c r="G1" s="91"/>
      <c r="H1" s="1"/>
      <c r="I1" s="1"/>
      <c r="J1" s="1" t="s">
        <v>45</v>
      </c>
      <c r="K1" s="1"/>
      <c r="L1" s="92"/>
      <c r="M1" s="92"/>
      <c r="N1" s="2"/>
      <c r="O1" s="2"/>
      <c r="P1" s="2"/>
      <c r="Q1" s="2"/>
    </row>
    <row r="2" spans="1:17" ht="72.599999999999994">
      <c r="A2" s="3" t="s">
        <v>46</v>
      </c>
      <c r="B2" s="3" t="s">
        <v>2</v>
      </c>
      <c r="C2" s="3" t="s">
        <v>47</v>
      </c>
      <c r="D2" s="3" t="s">
        <v>48</v>
      </c>
      <c r="E2" s="3" t="s">
        <v>49</v>
      </c>
      <c r="F2" s="3" t="s">
        <v>50</v>
      </c>
      <c r="G2" s="3" t="s">
        <v>4</v>
      </c>
      <c r="H2" s="3" t="s">
        <v>51</v>
      </c>
      <c r="I2" s="7" t="s">
        <v>52</v>
      </c>
      <c r="J2" s="7" t="s">
        <v>53</v>
      </c>
      <c r="K2" s="3" t="s">
        <v>54</v>
      </c>
      <c r="L2" s="3" t="s">
        <v>55</v>
      </c>
      <c r="M2" s="3" t="s">
        <v>56</v>
      </c>
      <c r="N2" s="3" t="s">
        <v>57</v>
      </c>
      <c r="O2" s="3" t="s">
        <v>58</v>
      </c>
      <c r="P2" s="3" t="s">
        <v>59</v>
      </c>
      <c r="Q2" s="3" t="s">
        <v>60</v>
      </c>
    </row>
    <row r="3" spans="1:17">
      <c r="A3" s="8"/>
      <c r="B3" s="8"/>
      <c r="C3" s="8"/>
      <c r="D3" s="8"/>
      <c r="E3" s="6" t="s">
        <v>61</v>
      </c>
      <c r="F3" s="8"/>
      <c r="G3" s="6" t="s">
        <v>61</v>
      </c>
      <c r="H3" s="8"/>
      <c r="I3" s="8"/>
      <c r="J3" s="8"/>
      <c r="K3" s="8"/>
    </row>
    <row r="4" spans="1:17">
      <c r="A4" s="8">
        <v>2</v>
      </c>
      <c r="B4" s="8"/>
      <c r="C4" s="4"/>
      <c r="D4" s="6">
        <v>1045784711</v>
      </c>
      <c r="E4" s="6" t="s">
        <v>62</v>
      </c>
      <c r="F4" s="9" t="s">
        <v>63</v>
      </c>
      <c r="G4" s="10" t="s">
        <v>64</v>
      </c>
      <c r="H4" s="10" t="s">
        <v>65</v>
      </c>
      <c r="I4" s="10"/>
      <c r="J4" s="10" t="s">
        <v>66</v>
      </c>
      <c r="K4" s="10">
        <v>10</v>
      </c>
      <c r="N4" t="s">
        <v>67</v>
      </c>
      <c r="O4" s="87" t="s">
        <v>68</v>
      </c>
    </row>
    <row r="5" spans="1:17">
      <c r="A5" s="8"/>
      <c r="B5" s="8"/>
      <c r="C5" s="4"/>
      <c r="D5" s="88" t="s">
        <v>69</v>
      </c>
      <c r="E5" s="90" t="s">
        <v>70</v>
      </c>
      <c r="F5" s="9" t="s">
        <v>63</v>
      </c>
      <c r="G5" s="10" t="s">
        <v>71</v>
      </c>
      <c r="H5" s="10"/>
      <c r="I5" s="10"/>
      <c r="J5" s="10"/>
      <c r="K5" s="10"/>
      <c r="N5" t="s">
        <v>67</v>
      </c>
      <c r="O5" s="87" t="s">
        <v>72</v>
      </c>
    </row>
    <row r="6" spans="1:17" ht="14.45">
      <c r="A6" s="8">
        <v>3</v>
      </c>
      <c r="B6" s="8"/>
      <c r="C6" s="11"/>
      <c r="D6" s="11"/>
      <c r="E6" s="11"/>
      <c r="F6" s="12"/>
      <c r="G6" s="13"/>
      <c r="H6" s="13"/>
      <c r="I6" s="13"/>
      <c r="J6" s="13"/>
      <c r="K6" s="13"/>
    </row>
    <row r="7" spans="1:17">
      <c r="A7" s="8">
        <v>4</v>
      </c>
      <c r="B7" s="8"/>
      <c r="C7" s="4"/>
      <c r="D7" s="6" t="s">
        <v>73</v>
      </c>
      <c r="E7" s="6" t="s">
        <v>74</v>
      </c>
      <c r="F7" s="9" t="s">
        <v>63</v>
      </c>
      <c r="G7" s="10" t="s">
        <v>75</v>
      </c>
      <c r="H7" s="10" t="s">
        <v>76</v>
      </c>
      <c r="I7" s="10" t="s">
        <v>77</v>
      </c>
      <c r="J7" s="10" t="s">
        <v>66</v>
      </c>
      <c r="K7" s="10">
        <v>50</v>
      </c>
      <c r="N7" t="s">
        <v>67</v>
      </c>
      <c r="O7" s="87" t="s">
        <v>78</v>
      </c>
      <c r="Q7" t="s">
        <v>79</v>
      </c>
    </row>
    <row r="8" spans="1:17">
      <c r="A8" s="8"/>
      <c r="B8" s="8"/>
      <c r="C8" s="4"/>
      <c r="D8" t="s">
        <v>80</v>
      </c>
      <c r="E8" s="17" t="s">
        <v>81</v>
      </c>
      <c r="F8" s="9" t="s">
        <v>63</v>
      </c>
      <c r="G8" s="10" t="s">
        <v>82</v>
      </c>
      <c r="H8" t="s">
        <v>83</v>
      </c>
      <c r="J8" t="s">
        <v>84</v>
      </c>
      <c r="K8">
        <v>8</v>
      </c>
      <c r="N8" t="s">
        <v>67</v>
      </c>
      <c r="O8" s="87" t="s">
        <v>85</v>
      </c>
    </row>
    <row r="9" spans="1:17" ht="14.45">
      <c r="A9" s="8">
        <v>6</v>
      </c>
      <c r="B9" s="8"/>
      <c r="C9" s="11"/>
      <c r="D9" s="11"/>
      <c r="E9" s="11"/>
      <c r="F9" s="12"/>
      <c r="G9" s="13"/>
      <c r="H9" s="13"/>
      <c r="I9" s="13"/>
      <c r="J9" s="13"/>
      <c r="K9" s="13"/>
    </row>
    <row r="10" spans="1:17">
      <c r="C10" s="4"/>
      <c r="D10" s="16" t="s">
        <v>86</v>
      </c>
      <c r="E10" s="6" t="s">
        <v>87</v>
      </c>
      <c r="F10" t="s">
        <v>88</v>
      </c>
      <c r="G10" t="s">
        <v>89</v>
      </c>
      <c r="H10" t="s">
        <v>90</v>
      </c>
      <c r="I10" t="s">
        <v>91</v>
      </c>
      <c r="J10" t="s">
        <v>66</v>
      </c>
      <c r="K10">
        <v>4</v>
      </c>
      <c r="N10" t="s">
        <v>67</v>
      </c>
      <c r="O10" s="87" t="s">
        <v>92</v>
      </c>
    </row>
    <row r="11" spans="1:17" ht="29.25">
      <c r="C11" s="4"/>
      <c r="D11" t="s">
        <v>93</v>
      </c>
      <c r="E11" s="6" t="s">
        <v>94</v>
      </c>
      <c r="F11" t="s">
        <v>88</v>
      </c>
      <c r="G11" t="s">
        <v>95</v>
      </c>
      <c r="H11" t="s">
        <v>96</v>
      </c>
      <c r="I11" t="s">
        <v>97</v>
      </c>
      <c r="J11" t="s">
        <v>66</v>
      </c>
      <c r="K11">
        <v>1</v>
      </c>
      <c r="L11" s="5" t="s">
        <v>98</v>
      </c>
      <c r="N11" s="5" t="s">
        <v>99</v>
      </c>
      <c r="O11" s="87" t="s">
        <v>100</v>
      </c>
    </row>
    <row r="12" spans="1:17">
      <c r="C12" s="4"/>
      <c r="D12" t="s">
        <v>101</v>
      </c>
      <c r="E12" s="6" t="s">
        <v>102</v>
      </c>
      <c r="F12" t="s">
        <v>88</v>
      </c>
      <c r="G12" t="s">
        <v>103</v>
      </c>
      <c r="H12" t="s">
        <v>104</v>
      </c>
      <c r="I12" t="s">
        <v>105</v>
      </c>
      <c r="J12" t="s">
        <v>66</v>
      </c>
      <c r="K12">
        <v>1</v>
      </c>
      <c r="L12" s="5"/>
      <c r="N12" t="s">
        <v>67</v>
      </c>
      <c r="O12" t="s">
        <v>106</v>
      </c>
    </row>
    <row r="13" spans="1:17">
      <c r="C13" s="4"/>
      <c r="D13" s="16" t="s">
        <v>86</v>
      </c>
      <c r="E13" s="6" t="s">
        <v>107</v>
      </c>
      <c r="F13" t="s">
        <v>88</v>
      </c>
      <c r="G13" t="s">
        <v>108</v>
      </c>
      <c r="H13" t="s">
        <v>109</v>
      </c>
      <c r="I13" t="s">
        <v>110</v>
      </c>
      <c r="J13" t="s">
        <v>66</v>
      </c>
      <c r="K13">
        <v>4</v>
      </c>
      <c r="N13" t="s">
        <v>67</v>
      </c>
      <c r="O13" s="87" t="s">
        <v>111</v>
      </c>
    </row>
    <row r="14" spans="1:17" ht="29.25">
      <c r="C14" s="4"/>
      <c r="D14" t="s">
        <v>112</v>
      </c>
      <c r="E14" s="17" t="s">
        <v>113</v>
      </c>
      <c r="F14" t="s">
        <v>88</v>
      </c>
      <c r="G14" t="s">
        <v>114</v>
      </c>
      <c r="H14" t="s">
        <v>115</v>
      </c>
      <c r="I14" t="s">
        <v>116</v>
      </c>
      <c r="J14" t="s">
        <v>66</v>
      </c>
      <c r="K14">
        <v>1</v>
      </c>
      <c r="L14" s="5" t="s">
        <v>117</v>
      </c>
      <c r="N14" t="s">
        <v>67</v>
      </c>
      <c r="O14" s="87" t="s">
        <v>118</v>
      </c>
    </row>
    <row r="15" spans="1:17" ht="14.45">
      <c r="C15" s="4"/>
      <c r="D15" t="s">
        <v>101</v>
      </c>
      <c r="E15" s="17" t="s">
        <v>119</v>
      </c>
      <c r="F15" t="s">
        <v>88</v>
      </c>
      <c r="G15" t="s">
        <v>120</v>
      </c>
      <c r="H15" t="s">
        <v>121</v>
      </c>
      <c r="I15" t="s">
        <v>122</v>
      </c>
      <c r="J15" t="s">
        <v>66</v>
      </c>
      <c r="K15">
        <v>1</v>
      </c>
      <c r="L15" s="5"/>
      <c r="N15" t="s">
        <v>67</v>
      </c>
      <c r="O15" t="s">
        <v>123</v>
      </c>
    </row>
    <row r="16" spans="1:17" ht="208.5" customHeight="1">
      <c r="C16" s="4"/>
      <c r="D16" t="s">
        <v>124</v>
      </c>
      <c r="E16" s="17" t="s">
        <v>125</v>
      </c>
      <c r="F16" t="s">
        <v>88</v>
      </c>
      <c r="G16" t="s">
        <v>126</v>
      </c>
      <c r="H16" t="s">
        <v>127</v>
      </c>
      <c r="I16" t="s">
        <v>128</v>
      </c>
      <c r="J16" t="s">
        <v>66</v>
      </c>
      <c r="K16">
        <v>4</v>
      </c>
      <c r="L16" s="5" t="s">
        <v>129</v>
      </c>
      <c r="N16" t="s">
        <v>67</v>
      </c>
      <c r="O16" s="87" t="s">
        <v>130</v>
      </c>
    </row>
    <row r="17" spans="3:15">
      <c r="C17" s="4"/>
      <c r="D17" s="17">
        <v>1045784711</v>
      </c>
      <c r="E17" s="17" t="s">
        <v>131</v>
      </c>
      <c r="F17" t="s">
        <v>88</v>
      </c>
      <c r="G17" t="s">
        <v>132</v>
      </c>
      <c r="H17" s="10" t="s">
        <v>133</v>
      </c>
      <c r="I17" t="s">
        <v>134</v>
      </c>
      <c r="J17" s="10" t="s">
        <v>66</v>
      </c>
      <c r="K17" s="10">
        <v>10</v>
      </c>
      <c r="N17" t="s">
        <v>67</v>
      </c>
      <c r="O17" s="87" t="s">
        <v>135</v>
      </c>
    </row>
    <row r="18" spans="3:15" ht="57.75">
      <c r="C18" s="4"/>
      <c r="E18" s="17" t="s">
        <v>136</v>
      </c>
      <c r="F18" t="s">
        <v>88</v>
      </c>
      <c r="G18" t="s">
        <v>137</v>
      </c>
      <c r="H18" t="s">
        <v>138</v>
      </c>
      <c r="J18" t="s">
        <v>66</v>
      </c>
      <c r="K18">
        <v>2</v>
      </c>
      <c r="L18" s="5" t="s">
        <v>139</v>
      </c>
      <c r="N18" t="s">
        <v>67</v>
      </c>
      <c r="O18" s="87" t="s">
        <v>140</v>
      </c>
    </row>
    <row r="19" spans="3:15">
      <c r="C19" s="4"/>
      <c r="E19" s="17" t="s">
        <v>141</v>
      </c>
      <c r="F19" t="s">
        <v>88</v>
      </c>
      <c r="G19" s="41" t="s">
        <v>142</v>
      </c>
      <c r="H19" t="s">
        <v>143</v>
      </c>
      <c r="L19" s="5"/>
      <c r="N19" t="s">
        <v>67</v>
      </c>
      <c r="O19" s="87" t="s">
        <v>144</v>
      </c>
    </row>
    <row r="20" spans="3:15">
      <c r="E20" s="17" t="s">
        <v>145</v>
      </c>
      <c r="F20" t="s">
        <v>88</v>
      </c>
      <c r="G20" s="41" t="s">
        <v>146</v>
      </c>
      <c r="H20" t="s">
        <v>147</v>
      </c>
      <c r="N20" t="s">
        <v>67</v>
      </c>
      <c r="O20" s="87" t="s">
        <v>148</v>
      </c>
    </row>
    <row r="21" spans="3:15" ht="14.45">
      <c r="C21" s="4"/>
      <c r="D21">
        <v>1045784714</v>
      </c>
      <c r="E21" s="17" t="s">
        <v>149</v>
      </c>
      <c r="F21" t="s">
        <v>88</v>
      </c>
      <c r="G21" t="s">
        <v>150</v>
      </c>
      <c r="H21" t="s">
        <v>151</v>
      </c>
      <c r="I21" t="s">
        <v>152</v>
      </c>
      <c r="J21" t="s">
        <v>66</v>
      </c>
      <c r="K21">
        <v>10</v>
      </c>
      <c r="L21" s="5"/>
      <c r="N21" t="s">
        <v>67</v>
      </c>
      <c r="O21" t="s">
        <v>153</v>
      </c>
    </row>
    <row r="22" spans="3:15">
      <c r="E22" s="6" t="s">
        <v>154</v>
      </c>
    </row>
    <row r="23" spans="3:15">
      <c r="E23" s="17"/>
    </row>
  </sheetData>
  <mergeCells count="2">
    <mergeCell ref="A1:G1"/>
    <mergeCell ref="L1:M1"/>
  </mergeCells>
  <phoneticPr fontId="8" type="noConversion"/>
  <pageMargins left="0.7" right="0.7" top="0.78740157499999996" bottom="0.78740157499999996" header="0.3" footer="0.3"/>
  <headerFooter>
    <oddFooter>&amp;L_x000D_&amp;1#&amp;"Aptos"&amp;10&amp;K000000 TLP:AMBER - vertraulich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01E04-18EF-4223-AD9E-E4955315CD6D}">
  <sheetPr>
    <tabColor rgb="FFFFFF00"/>
  </sheetPr>
  <dimension ref="A1:P38"/>
  <sheetViews>
    <sheetView zoomScale="70" zoomScaleNormal="70" workbookViewId="0">
      <pane xSplit="4" ySplit="2" topLeftCell="G3" activePane="bottomRight" state="frozen"/>
      <selection pane="bottomRight" activeCell="G3" sqref="G3:G8"/>
      <selection pane="bottomLeft"/>
      <selection pane="topRight"/>
    </sheetView>
  </sheetViews>
  <sheetFormatPr defaultColWidth="9.140625" defaultRowHeight="15" customHeight="1"/>
  <cols>
    <col min="1" max="1" width="5" style="84" customWidth="1"/>
    <col min="2" max="2" width="6.140625" style="58" hidden="1" customWidth="1"/>
    <col min="3" max="3" width="11.140625" style="58" hidden="1" customWidth="1"/>
    <col min="4" max="4" width="34.5703125" style="58" customWidth="1"/>
    <col min="5" max="5" width="64.5703125" style="58" customWidth="1"/>
    <col min="6" max="6" width="6.28515625" style="58" customWidth="1"/>
    <col min="7" max="7" width="33.7109375" style="58" customWidth="1"/>
    <col min="8" max="8" width="31.5703125" style="58" customWidth="1"/>
    <col min="9" max="9" width="26.5703125" style="58" customWidth="1"/>
    <col min="10" max="10" width="13.42578125" style="58" customWidth="1"/>
    <col min="11" max="11" width="8.5703125" style="58" customWidth="1"/>
    <col min="12" max="12" width="6.5703125" style="58" customWidth="1"/>
    <col min="13" max="13" width="17.5703125" customWidth="1"/>
    <col min="14" max="14" width="22.140625" customWidth="1"/>
    <col min="15" max="15" width="111" bestFit="1" customWidth="1"/>
    <col min="16" max="16" width="158.42578125" customWidth="1"/>
  </cols>
  <sheetData>
    <row r="1" spans="1:16" ht="34.35" customHeight="1">
      <c r="A1" s="93" t="s">
        <v>155</v>
      </c>
      <c r="B1" s="93"/>
      <c r="C1" s="93"/>
      <c r="D1" s="93"/>
      <c r="E1" s="93"/>
      <c r="F1" s="93"/>
      <c r="G1" s="93"/>
      <c r="H1" s="54"/>
      <c r="I1" s="54"/>
      <c r="J1" s="54" t="s">
        <v>45</v>
      </c>
      <c r="K1" s="54"/>
      <c r="L1" s="54"/>
      <c r="M1" s="53"/>
      <c r="N1" s="55"/>
      <c r="O1" s="55"/>
      <c r="P1" s="55"/>
    </row>
    <row r="2" spans="1:16" s="58" customFormat="1" ht="60.75">
      <c r="A2" s="56" t="s">
        <v>46</v>
      </c>
      <c r="B2" s="56" t="s">
        <v>156</v>
      </c>
      <c r="C2" s="56" t="s">
        <v>157</v>
      </c>
      <c r="D2" s="56" t="s">
        <v>48</v>
      </c>
      <c r="E2" s="56" t="s">
        <v>49</v>
      </c>
      <c r="F2" s="56" t="s">
        <v>50</v>
      </c>
      <c r="G2" s="56" t="s">
        <v>4</v>
      </c>
      <c r="H2" s="56" t="s">
        <v>51</v>
      </c>
      <c r="I2" s="57" t="s">
        <v>52</v>
      </c>
      <c r="J2" s="57" t="s">
        <v>53</v>
      </c>
      <c r="K2" s="56" t="s">
        <v>54</v>
      </c>
      <c r="L2" s="56" t="s">
        <v>55</v>
      </c>
      <c r="M2" s="56" t="s">
        <v>56</v>
      </c>
      <c r="N2" s="56" t="s">
        <v>57</v>
      </c>
      <c r="O2" s="56" t="s">
        <v>58</v>
      </c>
      <c r="P2" s="56" t="s">
        <v>59</v>
      </c>
    </row>
    <row r="3" spans="1:16" s="64" customFormat="1">
      <c r="A3" s="59">
        <v>1</v>
      </c>
      <c r="B3" s="60"/>
      <c r="C3" s="61" t="str">
        <f>IF(B3="person","p_",(IF(B3="organisation","o_",(IF(B3="person/organisation","po_","")))))</f>
        <v/>
      </c>
      <c r="D3" s="61"/>
      <c r="E3" s="61" t="str">
        <f>IF(ISBLANK(F3),G3,IF(ISBLANK(M3),_xlfn.CONCAT($J$1,C3,G3,$J$1,": ",,$J$1,D3,$J$1,IF(LEFT(#REF!,1)="}","",",")),_xlfn.CONCAT($J$1,C3,G3,$J$1,": ",,,D3,,IF(LEFT(#REF!,1)="}","",","))))</f>
        <v>{</v>
      </c>
      <c r="F3" s="60"/>
      <c r="G3" s="62" t="s">
        <v>61</v>
      </c>
      <c r="H3" s="60"/>
      <c r="I3" s="63"/>
      <c r="J3" s="63"/>
      <c r="K3" s="60"/>
      <c r="L3" s="60"/>
      <c r="M3" s="60"/>
      <c r="N3" s="60"/>
      <c r="O3" s="60"/>
      <c r="P3" s="60"/>
    </row>
    <row r="4" spans="1:16" s="67" customFormat="1">
      <c r="A4" s="59">
        <v>3</v>
      </c>
      <c r="B4" s="61"/>
      <c r="C4" s="61" t="str">
        <f>IF(B4="person","p_",(IF(B4="organisation","o_",(IF(B4="person/organisation","po_","")))))</f>
        <v/>
      </c>
      <c r="D4" s="61">
        <v>1045784711</v>
      </c>
      <c r="E4" s="61" t="str">
        <f>IF(ISBLANK(F4),G4,IF(ISBLANK(M4),_xlfn.CONCAT($J$1,C4,G4,$J$1,": ",,$J$1,D4,$J$1,IF(LEFT(E5,1)="}","",",")),_xlfn.CONCAT($J$1,C4,G4,$J$1,": ",,,D4,,IF(LEFT(E5,1)="}","",","))))</f>
        <v>"ISU_ID": "1045784711",</v>
      </c>
      <c r="F4" s="64" t="s">
        <v>63</v>
      </c>
      <c r="G4" s="65" t="s">
        <v>158</v>
      </c>
      <c r="H4" s="66" t="s">
        <v>159</v>
      </c>
      <c r="I4" s="66"/>
      <c r="J4" s="66" t="s">
        <v>66</v>
      </c>
      <c r="K4" s="66">
        <v>10</v>
      </c>
      <c r="L4" s="66"/>
      <c r="P4" s="61"/>
    </row>
    <row r="5" spans="1:16" s="67" customFormat="1">
      <c r="A5" s="59">
        <v>5</v>
      </c>
      <c r="B5" s="61"/>
      <c r="C5" s="61"/>
      <c r="D5" s="61" t="s">
        <v>160</v>
      </c>
      <c r="E5" s="61" t="str">
        <f>IF(ISBLANK(F5),G5,IF(ISBLANK(M5),_xlfn.CONCAT($J$1,C5,G5,$J$1,": ",,$J$1,D5,$J$1,IF(LEFT(E6,1)="}","",",")),_xlfn.CONCAT($J$1,C5,G5,$J$1,": ",,,D5,,IF(LEFT(E6,1)="}","",","))))</f>
        <v>"changeRequestCRMGuid": "zzzzzzzzzzzzzz",</v>
      </c>
      <c r="F5" s="64" t="s">
        <v>63</v>
      </c>
      <c r="G5" s="66" t="s">
        <v>71</v>
      </c>
      <c r="H5" s="66" t="s">
        <v>161</v>
      </c>
      <c r="I5" s="66" t="s">
        <v>162</v>
      </c>
      <c r="J5" s="66" t="s">
        <v>66</v>
      </c>
      <c r="K5" s="66">
        <v>36</v>
      </c>
      <c r="L5" s="66"/>
      <c r="N5" s="66" t="s">
        <v>67</v>
      </c>
      <c r="O5" s="67" t="s">
        <v>163</v>
      </c>
      <c r="P5" s="61"/>
    </row>
    <row r="6" spans="1:16" s="67" customFormat="1">
      <c r="A6" s="59">
        <v>6</v>
      </c>
      <c r="B6" s="61"/>
      <c r="C6" s="61" t="str">
        <f>IF(B6="person","p_",(IF(B6="organisation","o_",(IF(B6="person/organisation","po_","")))))</f>
        <v/>
      </c>
      <c r="D6" s="61" t="s">
        <v>164</v>
      </c>
      <c r="E6" s="61" t="str">
        <f>IF(ISBLANK(F6),G6,IF(ISBLANK(M6),_xlfn.CONCAT($J$1,C6,G6,$J$1,": ",,$J$1,D6,$J$1,IF(LEFT(E7,1)="}","",",")),_xlfn.CONCAT($J$1,C6,G6,$J$1,": ",,,D6,,IF(LEFT(E7,1)="}","",","))))</f>
        <v>"ok": false,</v>
      </c>
      <c r="F6" s="64" t="s">
        <v>63</v>
      </c>
      <c r="G6" s="66" t="s">
        <v>165</v>
      </c>
      <c r="H6" s="66"/>
      <c r="I6" s="66"/>
      <c r="J6" s="66" t="s">
        <v>166</v>
      </c>
      <c r="K6" s="66"/>
      <c r="L6" s="66"/>
      <c r="M6" s="67" t="s">
        <v>166</v>
      </c>
      <c r="N6" s="65" t="s">
        <v>167</v>
      </c>
      <c r="O6" s="41" t="s">
        <v>168</v>
      </c>
      <c r="P6" s="61" t="s">
        <v>169</v>
      </c>
    </row>
    <row r="7" spans="1:16" s="67" customFormat="1">
      <c r="A7" s="59">
        <v>8</v>
      </c>
      <c r="B7" s="61"/>
      <c r="C7" s="61" t="str">
        <f>IF(B7="person","p_",(IF(B7="organisation","o_",(IF(B7="person/organisation","po_","")))))</f>
        <v/>
      </c>
      <c r="D7" s="61" t="s">
        <v>170</v>
      </c>
      <c r="E7" s="61" t="str">
        <f>IF(ISBLANK(F7),G7,IF(ISBLANK(M7),_xlfn.CONCAT($J$1,C7,G7,$J$1,": ",,$J$1,D7,$J$1,IF(LEFT(E8,1)="}","",",")),_xlfn.CONCAT($J$1,C7,G7,$J$1,": ",,,D7,,IF(LEFT(E8,1)="}","",","))))</f>
        <v>"message": "SAP BTP - Error while processing Request"</v>
      </c>
      <c r="F7" s="64" t="s">
        <v>63</v>
      </c>
      <c r="G7" s="66" t="s">
        <v>171</v>
      </c>
      <c r="H7" s="66"/>
      <c r="I7" s="66"/>
      <c r="J7" s="66" t="s">
        <v>66</v>
      </c>
      <c r="K7" s="66">
        <v>200</v>
      </c>
      <c r="L7" s="64"/>
      <c r="N7" s="67" t="s">
        <v>167</v>
      </c>
      <c r="P7" s="61"/>
    </row>
    <row r="8" spans="1:16" s="67" customFormat="1">
      <c r="A8" s="59">
        <v>9</v>
      </c>
      <c r="B8" s="61"/>
      <c r="C8" s="61"/>
      <c r="D8" s="61"/>
      <c r="E8" s="61" t="str">
        <f>IF(ISBLANK(F8),G8,IF(ISBLANK(M8),_xlfn.CONCAT($J$1,C8,G8,$J$1,": ",,$J$1,D8,$J$1,IF(LEFT(E9,1)="}","",",")),_xlfn.CONCAT($J$1,C8,G8,$J$1,": ",,,D8,,IF(LEFT(E9,1)="}","",","))))</f>
        <v>}</v>
      </c>
      <c r="F8" s="64"/>
      <c r="G8" s="68" t="s">
        <v>154</v>
      </c>
      <c r="H8" s="66"/>
      <c r="I8" s="66"/>
      <c r="J8" s="66"/>
      <c r="K8" s="66"/>
      <c r="L8" s="64"/>
      <c r="P8" s="61"/>
    </row>
    <row r="9" spans="1:16" s="67" customFormat="1">
      <c r="A9" s="59">
        <v>11</v>
      </c>
      <c r="B9" s="61"/>
      <c r="C9" s="61"/>
      <c r="D9" s="61"/>
      <c r="E9" s="61"/>
      <c r="F9" s="64"/>
      <c r="G9" s="69"/>
      <c r="H9" s="66"/>
      <c r="I9" s="66"/>
      <c r="J9" s="66"/>
      <c r="K9" s="66"/>
      <c r="L9" s="64"/>
      <c r="N9" s="70"/>
    </row>
    <row r="10" spans="1:16" s="67" customFormat="1" ht="74.25" customHeight="1">
      <c r="A10" s="59">
        <v>12</v>
      </c>
      <c r="B10" s="61"/>
      <c r="C10" s="61" t="str">
        <f>IF(B10="person","p_",(IF(B10="organisation","o_",(IF(B10="person/organisation","po_","")))))</f>
        <v/>
      </c>
      <c r="D10" s="61"/>
      <c r="E10" s="61"/>
      <c r="F10" s="64"/>
      <c r="G10" s="66"/>
      <c r="H10" s="66"/>
      <c r="I10" s="66"/>
      <c r="J10" s="66"/>
      <c r="K10" s="66"/>
      <c r="L10" s="64"/>
      <c r="O10" s="71"/>
    </row>
    <row r="11" spans="1:16" s="67" customFormat="1">
      <c r="A11" s="59">
        <v>13</v>
      </c>
      <c r="B11" s="61"/>
      <c r="C11" s="61" t="str">
        <f>IF(B11="person","p_",(IF(B11="organisation","o_",(IF(B11="person/organisation","po_","")))))</f>
        <v/>
      </c>
      <c r="D11" s="61"/>
      <c r="E11" s="61"/>
      <c r="F11" s="64"/>
      <c r="G11" s="66"/>
      <c r="H11" s="66"/>
      <c r="I11" s="66"/>
      <c r="J11" s="66"/>
      <c r="K11" s="66"/>
      <c r="L11" s="64"/>
      <c r="O11" s="70"/>
    </row>
    <row r="12" spans="1:16" s="67" customFormat="1">
      <c r="A12" s="59">
        <v>14</v>
      </c>
      <c r="B12" s="61"/>
      <c r="C12" s="61" t="str">
        <f>IF(B12="person","p_",(IF(B12="organisation","o_",(IF(B12="person/organisation","po_","")))))</f>
        <v/>
      </c>
      <c r="D12" s="61"/>
      <c r="E12" s="61"/>
      <c r="F12" s="64"/>
      <c r="G12" s="61"/>
      <c r="H12" s="66"/>
      <c r="I12" s="66"/>
      <c r="J12" s="66"/>
      <c r="K12" s="66"/>
      <c r="L12" s="64"/>
      <c r="O12" s="70"/>
    </row>
    <row r="13" spans="1:16" s="67" customFormat="1">
      <c r="A13" s="59">
        <v>15</v>
      </c>
      <c r="B13" s="61"/>
      <c r="C13" s="61"/>
      <c r="D13" s="61"/>
      <c r="E13" s="61"/>
      <c r="F13" s="64"/>
      <c r="G13" s="66"/>
      <c r="H13" s="66"/>
      <c r="I13" s="66"/>
      <c r="J13" s="66"/>
      <c r="K13" s="66"/>
      <c r="L13" s="64"/>
      <c r="O13" s="70"/>
    </row>
    <row r="14" spans="1:16" s="67" customFormat="1">
      <c r="A14" s="59">
        <v>16</v>
      </c>
      <c r="B14" s="61"/>
      <c r="C14" s="61"/>
      <c r="D14" s="61"/>
      <c r="E14" s="61"/>
      <c r="F14" s="64"/>
      <c r="G14" s="66"/>
      <c r="H14" s="66"/>
      <c r="I14" s="66"/>
      <c r="J14" s="66"/>
      <c r="K14" s="66"/>
      <c r="L14" s="64"/>
      <c r="O14" s="70"/>
    </row>
    <row r="15" spans="1:16" s="67" customFormat="1">
      <c r="A15" s="59">
        <v>17</v>
      </c>
      <c r="B15" s="72"/>
      <c r="C15" s="61" t="str">
        <f>IF(B15="person","p_",(IF(B15="organisation","o_",(IF(B15="person/organisation","po_","")))))</f>
        <v/>
      </c>
      <c r="D15" s="61"/>
      <c r="E15" s="61"/>
      <c r="F15" s="64"/>
      <c r="G15" s="61"/>
      <c r="H15" s="66"/>
      <c r="I15" s="66"/>
      <c r="J15" s="66"/>
      <c r="K15" s="66"/>
      <c r="L15" s="64"/>
      <c r="O15" s="70"/>
    </row>
    <row r="16" spans="1:16" s="67" customFormat="1">
      <c r="A16" s="59">
        <v>18</v>
      </c>
      <c r="B16" s="72"/>
      <c r="C16" s="61"/>
      <c r="D16" s="61"/>
      <c r="E16" s="61"/>
      <c r="F16" s="64"/>
      <c r="G16" s="72"/>
      <c r="H16" s="66"/>
      <c r="I16" s="66"/>
      <c r="J16" s="66"/>
      <c r="K16" s="66"/>
      <c r="L16" s="64"/>
    </row>
    <row r="17" spans="1:16" s="67" customFormat="1">
      <c r="A17" s="59">
        <v>19</v>
      </c>
      <c r="B17" s="61"/>
      <c r="C17" s="61" t="str">
        <f>IF(B17="person","p_",(IF(B17="organisation","o_",(IF(B17="person/organisation","po_","")))))</f>
        <v/>
      </c>
      <c r="D17" s="61"/>
      <c r="E17" s="61"/>
      <c r="F17" s="64"/>
      <c r="G17" s="66"/>
      <c r="H17" s="66"/>
      <c r="I17" s="66"/>
      <c r="J17" s="66"/>
      <c r="K17" s="66"/>
      <c r="L17" s="64"/>
      <c r="O17" s="73"/>
      <c r="P17" s="74"/>
    </row>
    <row r="18" spans="1:16" s="74" customFormat="1">
      <c r="A18" s="75">
        <v>20</v>
      </c>
      <c r="B18" s="76"/>
      <c r="C18" s="76"/>
      <c r="D18" s="76"/>
      <c r="E18" s="77"/>
      <c r="F18" s="78"/>
      <c r="G18" s="76"/>
      <c r="H18" s="76"/>
      <c r="I18" s="76"/>
      <c r="J18" s="76"/>
      <c r="K18" s="76"/>
      <c r="L18" s="76"/>
      <c r="M18" s="76"/>
      <c r="N18" s="76"/>
      <c r="O18" s="76"/>
      <c r="P18" s="76"/>
    </row>
    <row r="19" spans="1:16" s="67" customFormat="1">
      <c r="A19" s="59">
        <v>21</v>
      </c>
      <c r="B19" s="61"/>
      <c r="C19" s="61" t="str">
        <f>IF(B19="person","p_",(IF(B19="organisation","o_",(IF(B19="person/organisation","po_","")))))</f>
        <v/>
      </c>
      <c r="D19" s="64"/>
      <c r="E19" s="61"/>
      <c r="F19" s="64"/>
      <c r="G19" s="69"/>
      <c r="H19" s="66"/>
      <c r="I19" s="66"/>
      <c r="J19" s="66"/>
      <c r="K19" s="66"/>
      <c r="L19" s="64"/>
      <c r="P19" s="79"/>
    </row>
    <row r="20" spans="1:16" s="67" customFormat="1">
      <c r="A20" s="59">
        <v>22</v>
      </c>
      <c r="B20" s="61"/>
      <c r="C20" s="61"/>
      <c r="D20" s="61"/>
      <c r="E20" s="61"/>
      <c r="F20" s="64"/>
      <c r="G20" s="65"/>
      <c r="H20" s="66"/>
      <c r="I20" s="66"/>
      <c r="J20" s="66"/>
      <c r="K20" s="66"/>
      <c r="L20" s="64"/>
      <c r="P20" s="79"/>
    </row>
    <row r="21" spans="1:16" s="67" customFormat="1">
      <c r="A21" s="59">
        <v>23</v>
      </c>
      <c r="B21" s="61"/>
      <c r="C21" s="61"/>
      <c r="D21" s="61"/>
      <c r="E21" s="61"/>
      <c r="F21" s="64"/>
      <c r="G21" s="65"/>
      <c r="H21" s="66"/>
      <c r="I21" s="66"/>
      <c r="J21" s="65"/>
      <c r="K21" s="66"/>
      <c r="L21" s="64"/>
      <c r="P21" s="79"/>
    </row>
    <row r="22" spans="1:16" s="67" customFormat="1">
      <c r="A22" s="59">
        <v>24</v>
      </c>
      <c r="B22" s="61"/>
      <c r="C22" s="61"/>
      <c r="D22" s="61"/>
      <c r="E22" s="61"/>
      <c r="F22" s="64"/>
      <c r="G22" s="65"/>
      <c r="H22" s="66"/>
      <c r="I22" s="66"/>
      <c r="J22" s="65"/>
      <c r="K22" s="66"/>
      <c r="L22" s="64"/>
      <c r="P22" s="79"/>
    </row>
    <row r="23" spans="1:16" s="67" customFormat="1">
      <c r="A23" s="59">
        <v>25</v>
      </c>
      <c r="B23" s="61"/>
      <c r="C23" s="61"/>
      <c r="D23" s="61"/>
      <c r="E23" s="61"/>
      <c r="F23" s="64"/>
      <c r="G23" s="66"/>
      <c r="H23" s="66"/>
      <c r="I23" s="66"/>
      <c r="J23" s="66"/>
      <c r="K23" s="66"/>
      <c r="L23" s="64"/>
      <c r="P23" s="79"/>
    </row>
    <row r="24" spans="1:16" s="67" customFormat="1">
      <c r="A24" s="59">
        <v>26</v>
      </c>
      <c r="B24" s="61"/>
      <c r="C24" s="61"/>
      <c r="D24" s="64"/>
      <c r="E24" s="61"/>
      <c r="F24" s="64"/>
      <c r="G24" s="69"/>
      <c r="H24" s="66"/>
      <c r="I24" s="66"/>
      <c r="J24" s="66"/>
      <c r="K24" s="66"/>
      <c r="L24" s="64"/>
      <c r="P24" s="79"/>
    </row>
    <row r="25" spans="1:16" s="67" customFormat="1">
      <c r="A25" s="59">
        <v>27</v>
      </c>
      <c r="B25" s="61"/>
      <c r="C25" s="61"/>
      <c r="D25" s="61"/>
      <c r="E25" s="61"/>
      <c r="F25" s="64"/>
      <c r="G25" s="65"/>
      <c r="H25" s="66"/>
      <c r="I25" s="66"/>
      <c r="J25" s="66"/>
      <c r="K25" s="66"/>
      <c r="L25" s="64"/>
      <c r="P25" s="79"/>
    </row>
    <row r="26" spans="1:16" s="67" customFormat="1">
      <c r="A26" s="59">
        <v>28</v>
      </c>
      <c r="B26" s="61"/>
      <c r="C26" s="61"/>
      <c r="D26" s="61"/>
      <c r="E26" s="61"/>
      <c r="F26" s="64"/>
      <c r="G26" s="65"/>
      <c r="H26" s="66"/>
      <c r="I26" s="66"/>
      <c r="J26" s="65"/>
      <c r="K26" s="66"/>
      <c r="L26" s="64"/>
      <c r="P26" s="79"/>
    </row>
    <row r="27" spans="1:16" s="67" customFormat="1">
      <c r="A27" s="59">
        <v>29</v>
      </c>
      <c r="B27" s="61"/>
      <c r="C27" s="61"/>
      <c r="D27" s="61"/>
      <c r="E27" s="61"/>
      <c r="F27" s="64"/>
      <c r="G27" s="65"/>
      <c r="H27" s="66"/>
      <c r="I27" s="66"/>
      <c r="J27" s="65"/>
      <c r="K27" s="66"/>
      <c r="L27" s="64"/>
      <c r="P27" s="79"/>
    </row>
    <row r="28" spans="1:16" s="83" customFormat="1">
      <c r="A28" s="59">
        <v>30</v>
      </c>
      <c r="B28" s="80"/>
      <c r="C28" s="80"/>
      <c r="D28" s="80"/>
      <c r="E28" s="61"/>
      <c r="F28" s="81"/>
      <c r="G28" s="66"/>
      <c r="H28" s="82"/>
      <c r="I28" s="82"/>
      <c r="J28" s="82"/>
      <c r="K28" s="82"/>
      <c r="L28" s="81"/>
    </row>
    <row r="29" spans="1:16"/>
    <row r="30" spans="1:16">
      <c r="D30" s="68"/>
    </row>
    <row r="31" spans="1:16">
      <c r="D31" s="85"/>
      <c r="E31" s="86"/>
    </row>
    <row r="32" spans="1:16">
      <c r="D32" s="68"/>
    </row>
    <row r="33" spans="4:4">
      <c r="D33" s="85"/>
    </row>
    <row r="34" spans="4:4" ht="15" customHeight="1">
      <c r="D34" s="68"/>
    </row>
    <row r="35" spans="4:4" ht="15" customHeight="1">
      <c r="D35" s="85"/>
    </row>
    <row r="36" spans="4:4" ht="15" customHeight="1">
      <c r="D36" s="68"/>
    </row>
    <row r="37" spans="4:4" ht="15" customHeight="1">
      <c r="D37" s="85"/>
    </row>
    <row r="38" spans="4:4" ht="15" customHeight="1">
      <c r="D38" s="68"/>
    </row>
  </sheetData>
  <autoFilter ref="A2:P28" xr:uid="{02FB0506-52A2-4B73-BFD6-06CFDA61690E}"/>
  <mergeCells count="1">
    <mergeCell ref="A1:G1"/>
  </mergeCells>
  <phoneticPr fontId="1" type="noConversion"/>
  <pageMargins left="0.7" right="0.7" top="0.75" bottom="0.75" header="0.3" footer="0.3"/>
  <pageSetup paperSize="9" orientation="portrait"/>
  <headerFooter>
    <oddFooter>&amp;L_x000D_&amp;1#&amp;"Aptos"&amp;10&amp;K000000 TLP:AMBER - vertraulich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1C7D4-4EFC-4659-95A6-DC9D1ED93E1A}">
  <dimension ref="A1:D46"/>
  <sheetViews>
    <sheetView workbookViewId="0">
      <selection activeCell="C28" sqref="C28"/>
    </sheetView>
  </sheetViews>
  <sheetFormatPr defaultColWidth="11.42578125" defaultRowHeight="14.45"/>
  <cols>
    <col min="1" max="1" width="52.42578125" customWidth="1"/>
    <col min="2" max="2" width="43.28515625" customWidth="1"/>
    <col min="3" max="3" width="42.140625" customWidth="1"/>
    <col min="4" max="4" width="5.7109375" bestFit="1" customWidth="1"/>
  </cols>
  <sheetData>
    <row r="1" spans="1:4">
      <c r="A1" s="46" t="s">
        <v>172</v>
      </c>
      <c r="B1" s="44" t="s">
        <v>173</v>
      </c>
      <c r="C1" s="47" t="s">
        <v>103</v>
      </c>
      <c r="D1" s="48" t="s">
        <v>101</v>
      </c>
    </row>
    <row r="2" spans="1:4">
      <c r="A2" s="46" t="s">
        <v>172</v>
      </c>
      <c r="B2" s="45" t="s">
        <v>174</v>
      </c>
      <c r="C2" s="47" t="s">
        <v>103</v>
      </c>
      <c r="D2" s="48" t="s">
        <v>175</v>
      </c>
    </row>
    <row r="3" spans="1:4">
      <c r="A3" s="46" t="s">
        <v>172</v>
      </c>
      <c r="B3" s="45" t="s">
        <v>176</v>
      </c>
      <c r="C3" s="47" t="s">
        <v>103</v>
      </c>
      <c r="D3" s="48" t="s">
        <v>177</v>
      </c>
    </row>
    <row r="4" spans="1:4">
      <c r="A4" s="46" t="s">
        <v>172</v>
      </c>
      <c r="B4" s="45" t="s">
        <v>178</v>
      </c>
      <c r="C4" s="47" t="s">
        <v>103</v>
      </c>
      <c r="D4" s="48" t="s">
        <v>179</v>
      </c>
    </row>
    <row r="5" spans="1:4">
      <c r="A5" s="46" t="s">
        <v>172</v>
      </c>
      <c r="B5" s="45" t="s">
        <v>180</v>
      </c>
      <c r="C5" s="47" t="s">
        <v>103</v>
      </c>
      <c r="D5" s="48" t="s">
        <v>181</v>
      </c>
    </row>
    <row r="6" spans="1:4">
      <c r="A6" s="46" t="s">
        <v>172</v>
      </c>
      <c r="B6" s="45" t="s">
        <v>182</v>
      </c>
      <c r="C6" s="47" t="s">
        <v>103</v>
      </c>
      <c r="D6" s="48" t="s">
        <v>93</v>
      </c>
    </row>
    <row r="7" spans="1:4">
      <c r="A7" s="46" t="s">
        <v>172</v>
      </c>
      <c r="B7" s="45" t="s">
        <v>183</v>
      </c>
      <c r="C7" s="47" t="s">
        <v>103</v>
      </c>
      <c r="D7" s="48" t="s">
        <v>184</v>
      </c>
    </row>
    <row r="8" spans="1:4">
      <c r="A8" s="46" t="s">
        <v>172</v>
      </c>
      <c r="B8" s="45" t="s">
        <v>185</v>
      </c>
      <c r="C8" s="47" t="s">
        <v>103</v>
      </c>
      <c r="D8" s="48" t="s">
        <v>112</v>
      </c>
    </row>
    <row r="9" spans="1:4">
      <c r="A9" s="46" t="s">
        <v>172</v>
      </c>
      <c r="B9" s="45" t="s">
        <v>186</v>
      </c>
      <c r="C9" s="47" t="s">
        <v>103</v>
      </c>
      <c r="D9" s="48" t="s">
        <v>187</v>
      </c>
    </row>
    <row r="10" spans="1:4">
      <c r="A10" s="46" t="s">
        <v>172</v>
      </c>
      <c r="B10" s="45" t="s">
        <v>188</v>
      </c>
      <c r="C10" s="47" t="s">
        <v>103</v>
      </c>
      <c r="D10" s="48" t="s">
        <v>189</v>
      </c>
    </row>
    <row r="11" spans="1:4">
      <c r="A11" s="46" t="s">
        <v>172</v>
      </c>
      <c r="B11" s="45" t="s">
        <v>190</v>
      </c>
      <c r="C11" s="47" t="s">
        <v>103</v>
      </c>
      <c r="D11" s="48" t="s">
        <v>191</v>
      </c>
    </row>
    <row r="12" spans="1:4">
      <c r="A12" s="46" t="s">
        <v>172</v>
      </c>
      <c r="B12" s="45" t="s">
        <v>192</v>
      </c>
      <c r="C12" s="47" t="s">
        <v>103</v>
      </c>
      <c r="D12" s="48" t="s">
        <v>193</v>
      </c>
    </row>
    <row r="13" spans="1:4">
      <c r="A13" s="46" t="s">
        <v>172</v>
      </c>
      <c r="B13" s="45" t="s">
        <v>194</v>
      </c>
      <c r="C13" s="47" t="s">
        <v>103</v>
      </c>
      <c r="D13" s="48" t="s">
        <v>195</v>
      </c>
    </row>
    <row r="14" spans="1:4">
      <c r="A14" s="46" t="s">
        <v>172</v>
      </c>
      <c r="B14" s="45" t="s">
        <v>196</v>
      </c>
      <c r="C14" s="47" t="s">
        <v>103</v>
      </c>
      <c r="D14" s="48" t="s">
        <v>197</v>
      </c>
    </row>
    <row r="15" spans="1:4">
      <c r="A15" s="46" t="s">
        <v>198</v>
      </c>
      <c r="B15" s="45" t="s">
        <v>199</v>
      </c>
      <c r="C15" s="47" t="s">
        <v>200</v>
      </c>
      <c r="D15" s="48" t="s">
        <v>201</v>
      </c>
    </row>
    <row r="16" spans="1:4">
      <c r="A16" s="46" t="s">
        <v>198</v>
      </c>
      <c r="B16" s="45" t="s">
        <v>202</v>
      </c>
      <c r="C16" s="47" t="s">
        <v>200</v>
      </c>
      <c r="D16" s="48" t="s">
        <v>112</v>
      </c>
    </row>
    <row r="17" spans="1:4">
      <c r="A17" s="46" t="s">
        <v>203</v>
      </c>
      <c r="B17" s="45" t="s">
        <v>173</v>
      </c>
      <c r="C17" s="47" t="s">
        <v>204</v>
      </c>
      <c r="D17" s="48" t="s">
        <v>101</v>
      </c>
    </row>
    <row r="18" spans="1:4">
      <c r="A18" s="49" t="s">
        <v>203</v>
      </c>
      <c r="B18" s="48" t="s">
        <v>174</v>
      </c>
      <c r="C18" s="47" t="s">
        <v>204</v>
      </c>
      <c r="D18" s="48" t="s">
        <v>175</v>
      </c>
    </row>
    <row r="19" spans="1:4">
      <c r="A19" s="46" t="s">
        <v>203</v>
      </c>
      <c r="B19" s="48" t="s">
        <v>176</v>
      </c>
      <c r="C19" s="47" t="s">
        <v>204</v>
      </c>
      <c r="D19" s="48" t="s">
        <v>177</v>
      </c>
    </row>
    <row r="20" spans="1:4">
      <c r="A20" s="46" t="s">
        <v>203</v>
      </c>
      <c r="B20" s="48" t="s">
        <v>178</v>
      </c>
      <c r="C20" s="47" t="s">
        <v>204</v>
      </c>
      <c r="D20" s="48" t="s">
        <v>179</v>
      </c>
    </row>
    <row r="21" spans="1:4">
      <c r="A21" s="46" t="s">
        <v>203</v>
      </c>
      <c r="B21" s="48" t="s">
        <v>180</v>
      </c>
      <c r="C21" s="47" t="s">
        <v>204</v>
      </c>
      <c r="D21" s="48" t="s">
        <v>181</v>
      </c>
    </row>
    <row r="22" spans="1:4">
      <c r="A22" s="46" t="s">
        <v>203</v>
      </c>
      <c r="B22" s="48" t="s">
        <v>183</v>
      </c>
      <c r="C22" s="47" t="s">
        <v>204</v>
      </c>
      <c r="D22" s="48" t="s">
        <v>184</v>
      </c>
    </row>
    <row r="23" spans="1:4">
      <c r="A23" s="46" t="s">
        <v>203</v>
      </c>
      <c r="B23" s="48" t="s">
        <v>185</v>
      </c>
      <c r="C23" s="47" t="s">
        <v>204</v>
      </c>
      <c r="D23" s="48" t="s">
        <v>112</v>
      </c>
    </row>
    <row r="24" spans="1:4">
      <c r="A24" s="46" t="s">
        <v>203</v>
      </c>
      <c r="B24" s="48" t="s">
        <v>186</v>
      </c>
      <c r="C24" s="47" t="s">
        <v>204</v>
      </c>
      <c r="D24" s="48" t="s">
        <v>187</v>
      </c>
    </row>
    <row r="25" spans="1:4">
      <c r="A25" s="46" t="s">
        <v>203</v>
      </c>
      <c r="B25" s="48" t="s">
        <v>188</v>
      </c>
      <c r="C25" s="47" t="s">
        <v>204</v>
      </c>
      <c r="D25" s="48" t="s">
        <v>189</v>
      </c>
    </row>
    <row r="26" spans="1:4">
      <c r="A26" s="46" t="s">
        <v>203</v>
      </c>
      <c r="B26" s="48" t="s">
        <v>190</v>
      </c>
      <c r="C26" s="47" t="s">
        <v>204</v>
      </c>
      <c r="D26" s="48" t="s">
        <v>191</v>
      </c>
    </row>
    <row r="27" spans="1:4">
      <c r="A27" s="46" t="s">
        <v>203</v>
      </c>
      <c r="B27" s="48" t="s">
        <v>192</v>
      </c>
      <c r="C27" s="47" t="s">
        <v>204</v>
      </c>
      <c r="D27" s="48" t="s">
        <v>193</v>
      </c>
    </row>
    <row r="28" spans="1:4">
      <c r="A28" s="46" t="s">
        <v>203</v>
      </c>
      <c r="B28" s="48" t="s">
        <v>194</v>
      </c>
      <c r="C28" s="47" t="s">
        <v>204</v>
      </c>
      <c r="D28" s="48" t="s">
        <v>195</v>
      </c>
    </row>
    <row r="29" spans="1:4">
      <c r="A29" s="50" t="s">
        <v>203</v>
      </c>
      <c r="B29" s="51" t="s">
        <v>196</v>
      </c>
      <c r="C29" s="52" t="s">
        <v>204</v>
      </c>
      <c r="D29" s="51" t="s">
        <v>197</v>
      </c>
    </row>
    <row r="30" spans="1:4">
      <c r="A30" s="50" t="s">
        <v>205</v>
      </c>
      <c r="B30" s="48" t="s">
        <v>206</v>
      </c>
      <c r="C30" s="47" t="s">
        <v>126</v>
      </c>
      <c r="D30" s="48" t="s">
        <v>207</v>
      </c>
    </row>
    <row r="31" spans="1:4">
      <c r="A31" s="50" t="s">
        <v>205</v>
      </c>
      <c r="B31" s="48" t="s">
        <v>208</v>
      </c>
      <c r="C31" s="47" t="s">
        <v>126</v>
      </c>
      <c r="D31" s="48" t="s">
        <v>209</v>
      </c>
    </row>
    <row r="32" spans="1:4">
      <c r="A32" s="50" t="s">
        <v>205</v>
      </c>
      <c r="B32" s="48" t="s">
        <v>210</v>
      </c>
      <c r="C32" s="47" t="s">
        <v>126</v>
      </c>
      <c r="D32" s="48" t="s">
        <v>211</v>
      </c>
    </row>
    <row r="33" spans="1:4">
      <c r="A33" s="50" t="s">
        <v>205</v>
      </c>
      <c r="B33" s="48" t="s">
        <v>212</v>
      </c>
      <c r="C33" s="47" t="s">
        <v>126</v>
      </c>
      <c r="D33" s="48" t="s">
        <v>124</v>
      </c>
    </row>
    <row r="34" spans="1:4">
      <c r="A34" s="50" t="s">
        <v>205</v>
      </c>
      <c r="B34" s="48" t="s">
        <v>213</v>
      </c>
      <c r="C34" s="47" t="s">
        <v>126</v>
      </c>
      <c r="D34" s="48" t="s">
        <v>214</v>
      </c>
    </row>
    <row r="35" spans="1:4">
      <c r="A35" s="50" t="s">
        <v>205</v>
      </c>
      <c r="B35" s="48" t="s">
        <v>215</v>
      </c>
      <c r="C35" s="47" t="s">
        <v>126</v>
      </c>
      <c r="D35" s="48" t="s">
        <v>216</v>
      </c>
    </row>
    <row r="36" spans="1:4">
      <c r="A36" s="50" t="s">
        <v>205</v>
      </c>
      <c r="B36" s="48" t="s">
        <v>217</v>
      </c>
      <c r="C36" s="47" t="s">
        <v>126</v>
      </c>
      <c r="D36" s="48" t="s">
        <v>218</v>
      </c>
    </row>
    <row r="37" spans="1:4">
      <c r="A37" s="50" t="s">
        <v>205</v>
      </c>
      <c r="B37" s="48" t="s">
        <v>219</v>
      </c>
      <c r="C37" s="47" t="s">
        <v>126</v>
      </c>
      <c r="D37" s="48" t="s">
        <v>220</v>
      </c>
    </row>
    <row r="38" spans="1:4">
      <c r="A38" s="50" t="s">
        <v>205</v>
      </c>
      <c r="B38" s="48" t="s">
        <v>221</v>
      </c>
      <c r="C38" s="47" t="s">
        <v>126</v>
      </c>
      <c r="D38" s="48" t="s">
        <v>222</v>
      </c>
    </row>
    <row r="39" spans="1:4">
      <c r="A39" s="50" t="s">
        <v>205</v>
      </c>
      <c r="B39" s="48" t="s">
        <v>223</v>
      </c>
      <c r="C39" s="47" t="s">
        <v>126</v>
      </c>
      <c r="D39" s="48" t="s">
        <v>224</v>
      </c>
    </row>
    <row r="40" spans="1:4">
      <c r="A40" s="50" t="s">
        <v>205</v>
      </c>
      <c r="B40" s="48" t="s">
        <v>225</v>
      </c>
      <c r="C40" s="47" t="s">
        <v>126</v>
      </c>
      <c r="D40" s="48" t="s">
        <v>226</v>
      </c>
    </row>
    <row r="41" spans="1:4">
      <c r="A41" s="50" t="s">
        <v>205</v>
      </c>
      <c r="B41" s="48" t="s">
        <v>227</v>
      </c>
      <c r="C41" s="47" t="s">
        <v>126</v>
      </c>
      <c r="D41" s="48" t="s">
        <v>228</v>
      </c>
    </row>
    <row r="42" spans="1:4">
      <c r="A42" s="50" t="s">
        <v>205</v>
      </c>
      <c r="B42" s="48" t="s">
        <v>229</v>
      </c>
      <c r="C42" s="47" t="s">
        <v>126</v>
      </c>
      <c r="D42" s="48" t="s">
        <v>230</v>
      </c>
    </row>
    <row r="43" spans="1:4">
      <c r="A43" s="50" t="s">
        <v>205</v>
      </c>
      <c r="B43" s="48" t="s">
        <v>231</v>
      </c>
      <c r="C43" s="47" t="s">
        <v>126</v>
      </c>
      <c r="D43" s="48" t="s">
        <v>232</v>
      </c>
    </row>
    <row r="44" spans="1:4">
      <c r="A44" s="50" t="s">
        <v>205</v>
      </c>
      <c r="B44" s="48" t="s">
        <v>233</v>
      </c>
      <c r="C44" s="47" t="s">
        <v>126</v>
      </c>
      <c r="D44" s="48" t="s">
        <v>234</v>
      </c>
    </row>
    <row r="45" spans="1:4">
      <c r="A45" s="50" t="s">
        <v>205</v>
      </c>
      <c r="B45" s="51" t="s">
        <v>235</v>
      </c>
      <c r="C45" s="52" t="s">
        <v>126</v>
      </c>
      <c r="D45" s="51" t="s">
        <v>236</v>
      </c>
    </row>
    <row r="46" spans="1:4">
      <c r="A46" s="46" t="s">
        <v>205</v>
      </c>
      <c r="B46" s="48" t="s">
        <v>237</v>
      </c>
      <c r="C46" s="47" t="s">
        <v>126</v>
      </c>
      <c r="D46" s="48" t="s">
        <v>238</v>
      </c>
    </row>
  </sheetData>
  <pageMargins left="0.7" right="0.7" top="0.78740157499999996" bottom="0.78740157499999996" header="0.3" footer="0.3"/>
  <headerFooter>
    <oddFooter>&amp;L_x000D_&amp;1#&amp;"Aptos"&amp;10&amp;K000000 TLP:AMBER - vertraulich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A1209-F7A4-463F-9DDB-E952B5F4E2E3}">
  <dimension ref="A1:P40"/>
  <sheetViews>
    <sheetView workbookViewId="0">
      <selection activeCell="E12" sqref="E12"/>
    </sheetView>
  </sheetViews>
  <sheetFormatPr defaultColWidth="11.42578125" defaultRowHeight="15" customHeight="1"/>
  <cols>
    <col min="1" max="2" width="8" customWidth="1"/>
    <col min="3" max="3" width="23.5703125" customWidth="1"/>
    <col min="4" max="4" width="37.42578125" customWidth="1"/>
    <col min="5" max="5" width="60.7109375" customWidth="1"/>
    <col min="6" max="6" width="7.140625" customWidth="1"/>
    <col min="7" max="7" width="36" customWidth="1"/>
    <col min="8" max="8" width="33.42578125" customWidth="1"/>
    <col min="9" max="9" width="24.42578125" customWidth="1"/>
    <col min="12" max="12" width="42" customWidth="1"/>
    <col min="16" max="16" width="70.28515625" customWidth="1"/>
  </cols>
  <sheetData>
    <row r="1" spans="1:16" ht="23.45">
      <c r="A1" s="91" t="s">
        <v>239</v>
      </c>
      <c r="B1" s="91"/>
      <c r="C1" s="91"/>
      <c r="D1" s="91"/>
      <c r="E1" s="91"/>
      <c r="F1" s="91"/>
      <c r="G1" s="91"/>
      <c r="H1" s="1"/>
      <c r="I1" s="1"/>
      <c r="J1" s="1" t="s">
        <v>45</v>
      </c>
      <c r="K1" s="1"/>
      <c r="L1" s="92"/>
      <c r="M1" s="92"/>
      <c r="N1" s="2"/>
      <c r="O1" s="2"/>
      <c r="P1" s="2"/>
    </row>
    <row r="2" spans="1:16" ht="57.95">
      <c r="A2" s="3" t="s">
        <v>46</v>
      </c>
      <c r="B2" s="3" t="s">
        <v>2</v>
      </c>
      <c r="C2" s="3" t="s">
        <v>240</v>
      </c>
      <c r="D2" s="3" t="s">
        <v>48</v>
      </c>
      <c r="E2" s="3" t="s">
        <v>49</v>
      </c>
      <c r="F2" s="3" t="s">
        <v>50</v>
      </c>
      <c r="G2" s="3" t="s">
        <v>4</v>
      </c>
      <c r="H2" s="3" t="s">
        <v>51</v>
      </c>
      <c r="I2" s="7" t="s">
        <v>52</v>
      </c>
      <c r="J2" s="7" t="s">
        <v>53</v>
      </c>
      <c r="K2" s="3" t="s">
        <v>54</v>
      </c>
      <c r="L2" s="3" t="s">
        <v>55</v>
      </c>
      <c r="M2" s="3" t="s">
        <v>56</v>
      </c>
      <c r="N2" s="3" t="s">
        <v>57</v>
      </c>
      <c r="O2" s="3" t="s">
        <v>58</v>
      </c>
      <c r="P2" s="3" t="s">
        <v>59</v>
      </c>
    </row>
    <row r="3" spans="1:16" ht="14.45">
      <c r="A3" s="8">
        <v>2</v>
      </c>
      <c r="B3" s="8"/>
      <c r="C3" s="4" t="s">
        <v>241</v>
      </c>
      <c r="D3" s="6">
        <v>1045784711</v>
      </c>
      <c r="E3" s="6" t="s">
        <v>62</v>
      </c>
      <c r="F3" s="9" t="s">
        <v>63</v>
      </c>
      <c r="G3" s="10" t="s">
        <v>64</v>
      </c>
      <c r="H3" s="10" t="s">
        <v>65</v>
      </c>
      <c r="I3" s="10"/>
      <c r="J3" s="10" t="s">
        <v>66</v>
      </c>
      <c r="K3" s="10">
        <v>10</v>
      </c>
    </row>
    <row r="4" spans="1:16" ht="14.45">
      <c r="A4" s="8">
        <v>3</v>
      </c>
      <c r="B4" s="8"/>
      <c r="C4" s="11"/>
      <c r="D4" s="11"/>
      <c r="E4" s="11"/>
      <c r="F4" s="12"/>
      <c r="G4" s="13"/>
      <c r="H4" s="13"/>
      <c r="I4" s="13"/>
      <c r="J4" s="13"/>
      <c r="K4" s="13"/>
    </row>
    <row r="5" spans="1:16" ht="14.45">
      <c r="A5" s="8">
        <v>4</v>
      </c>
      <c r="B5" s="8"/>
      <c r="C5" s="4" t="s">
        <v>242</v>
      </c>
      <c r="D5" s="6" t="s">
        <v>73</v>
      </c>
      <c r="E5" s="6" t="s">
        <v>243</v>
      </c>
      <c r="F5" s="9" t="s">
        <v>63</v>
      </c>
      <c r="G5" s="10" t="s">
        <v>75</v>
      </c>
      <c r="H5" s="10" t="s">
        <v>76</v>
      </c>
      <c r="I5" s="10" t="s">
        <v>77</v>
      </c>
      <c r="J5" s="10" t="s">
        <v>66</v>
      </c>
      <c r="K5" s="10">
        <v>50</v>
      </c>
    </row>
    <row r="6" spans="1:16" ht="29.1">
      <c r="A6" s="8"/>
      <c r="B6" s="8"/>
      <c r="C6" s="4" t="s">
        <v>244</v>
      </c>
      <c r="D6" t="s">
        <v>80</v>
      </c>
      <c r="E6" s="17" t="s">
        <v>245</v>
      </c>
      <c r="F6" s="40" t="s">
        <v>63</v>
      </c>
      <c r="G6" s="10" t="s">
        <v>3</v>
      </c>
      <c r="H6" t="s">
        <v>83</v>
      </c>
      <c r="J6" t="s">
        <v>84</v>
      </c>
      <c r="K6">
        <v>8</v>
      </c>
    </row>
    <row r="7" spans="1:16" ht="14.45">
      <c r="A7" s="8">
        <v>6</v>
      </c>
      <c r="B7" s="8"/>
      <c r="C7" s="11"/>
      <c r="D7" s="11"/>
      <c r="E7" s="11"/>
      <c r="F7" s="12"/>
      <c r="G7" s="13"/>
      <c r="H7" s="13"/>
      <c r="I7" s="13"/>
      <c r="J7" s="13"/>
      <c r="K7" s="13"/>
    </row>
    <row r="8" spans="1:16" ht="101.45">
      <c r="A8" s="8">
        <v>9</v>
      </c>
      <c r="B8" s="8"/>
      <c r="C8" s="4" t="s">
        <v>246</v>
      </c>
      <c r="D8" t="s">
        <v>247</v>
      </c>
      <c r="E8" s="17" t="s">
        <v>248</v>
      </c>
      <c r="F8" s="9" t="s">
        <v>88</v>
      </c>
      <c r="G8" s="10" t="s">
        <v>249</v>
      </c>
      <c r="H8" s="10" t="s">
        <v>249</v>
      </c>
      <c r="I8" t="s">
        <v>250</v>
      </c>
      <c r="J8" t="s">
        <v>66</v>
      </c>
      <c r="K8">
        <v>34</v>
      </c>
      <c r="P8" t="s">
        <v>251</v>
      </c>
    </row>
    <row r="9" spans="1:16" ht="14.45">
      <c r="A9" s="8"/>
      <c r="B9" s="8"/>
      <c r="C9" s="4"/>
      <c r="F9" s="14" t="s">
        <v>88</v>
      </c>
      <c r="G9" s="15" t="s">
        <v>252</v>
      </c>
      <c r="H9" s="10"/>
      <c r="J9" t="s">
        <v>66</v>
      </c>
      <c r="K9">
        <v>18</v>
      </c>
    </row>
    <row r="10" spans="1:16" ht="14.45">
      <c r="A10" s="8"/>
      <c r="B10" s="8"/>
      <c r="C10" s="4"/>
      <c r="F10" s="14" t="s">
        <v>88</v>
      </c>
      <c r="G10" s="15" t="s">
        <v>253</v>
      </c>
      <c r="H10" s="10"/>
      <c r="J10" t="s">
        <v>254</v>
      </c>
      <c r="K10">
        <v>15</v>
      </c>
    </row>
    <row r="11" spans="1:16" ht="14.45">
      <c r="A11" s="8"/>
      <c r="B11" s="8"/>
      <c r="C11" s="4"/>
      <c r="D11" t="s">
        <v>255</v>
      </c>
      <c r="E11" s="6" t="s">
        <v>256</v>
      </c>
      <c r="F11" s="9" t="s">
        <v>257</v>
      </c>
      <c r="G11" s="10" t="s">
        <v>258</v>
      </c>
      <c r="H11" s="10" t="s">
        <v>259</v>
      </c>
      <c r="I11" t="s">
        <v>260</v>
      </c>
      <c r="J11" t="s">
        <v>254</v>
      </c>
      <c r="K11">
        <v>60</v>
      </c>
    </row>
    <row r="12" spans="1:16" ht="14.45">
      <c r="A12" s="8"/>
      <c r="B12" s="8"/>
      <c r="C12" s="4"/>
      <c r="D12" t="s">
        <v>80</v>
      </c>
      <c r="E12" s="6" t="s">
        <v>261</v>
      </c>
      <c r="F12" s="9" t="s">
        <v>257</v>
      </c>
      <c r="G12" s="10" t="s">
        <v>262</v>
      </c>
      <c r="H12" s="10" t="s">
        <v>263</v>
      </c>
      <c r="I12" t="s">
        <v>264</v>
      </c>
      <c r="J12" t="s">
        <v>84</v>
      </c>
      <c r="K12">
        <v>8</v>
      </c>
    </row>
    <row r="13" spans="1:16" ht="14.45">
      <c r="A13" s="8"/>
      <c r="B13" s="8"/>
      <c r="C13" s="4"/>
      <c r="F13" s="9"/>
      <c r="G13" s="10"/>
      <c r="H13" s="10"/>
    </row>
    <row r="14" spans="1:16" ht="14.45">
      <c r="A14" s="8"/>
      <c r="B14" s="8"/>
      <c r="C14" s="4"/>
      <c r="F14" s="9"/>
      <c r="G14" s="10"/>
      <c r="H14" s="10"/>
    </row>
    <row r="15" spans="1:16" ht="14.45">
      <c r="C15" s="4" t="s">
        <v>265</v>
      </c>
      <c r="D15" s="16" t="s">
        <v>86</v>
      </c>
      <c r="E15" s="6" t="s">
        <v>266</v>
      </c>
      <c r="F15" t="s">
        <v>88</v>
      </c>
      <c r="G15" t="s">
        <v>267</v>
      </c>
      <c r="H15" t="s">
        <v>90</v>
      </c>
      <c r="I15" t="s">
        <v>91</v>
      </c>
      <c r="J15" t="s">
        <v>66</v>
      </c>
      <c r="K15">
        <v>4</v>
      </c>
      <c r="P15" t="s">
        <v>268</v>
      </c>
    </row>
    <row r="16" spans="1:16" ht="29.1">
      <c r="C16" s="4"/>
      <c r="D16" t="s">
        <v>93</v>
      </c>
      <c r="E16" s="6" t="s">
        <v>269</v>
      </c>
      <c r="F16" t="s">
        <v>88</v>
      </c>
      <c r="G16" t="s">
        <v>270</v>
      </c>
      <c r="H16" t="s">
        <v>96</v>
      </c>
      <c r="I16" t="s">
        <v>97</v>
      </c>
      <c r="J16" t="s">
        <v>66</v>
      </c>
      <c r="K16">
        <v>1</v>
      </c>
      <c r="L16" s="5" t="s">
        <v>271</v>
      </c>
    </row>
    <row r="17" spans="2:16" ht="14.45">
      <c r="C17" s="4"/>
    </row>
    <row r="18" spans="2:16" ht="14.45">
      <c r="C18" s="4" t="s">
        <v>272</v>
      </c>
      <c r="D18" s="16" t="s">
        <v>86</v>
      </c>
      <c r="E18" s="6" t="s">
        <v>273</v>
      </c>
      <c r="F18" t="s">
        <v>88</v>
      </c>
      <c r="G18" t="s">
        <v>274</v>
      </c>
      <c r="H18" t="s">
        <v>109</v>
      </c>
      <c r="I18" t="s">
        <v>110</v>
      </c>
      <c r="J18" t="s">
        <v>66</v>
      </c>
      <c r="K18">
        <v>4</v>
      </c>
      <c r="P18" t="s">
        <v>275</v>
      </c>
    </row>
    <row r="19" spans="2:16" ht="29.1">
      <c r="C19" s="4"/>
      <c r="D19" t="s">
        <v>112</v>
      </c>
      <c r="E19" s="17" t="s">
        <v>276</v>
      </c>
      <c r="F19" t="s">
        <v>88</v>
      </c>
      <c r="G19" t="s">
        <v>115</v>
      </c>
      <c r="H19" t="s">
        <v>115</v>
      </c>
      <c r="I19" t="s">
        <v>116</v>
      </c>
      <c r="J19" t="s">
        <v>66</v>
      </c>
      <c r="K19">
        <v>1</v>
      </c>
      <c r="L19" s="5" t="s">
        <v>117</v>
      </c>
    </row>
    <row r="20" spans="2:16" ht="178.5" customHeight="1">
      <c r="C20" s="4"/>
      <c r="D20" t="s">
        <v>124</v>
      </c>
      <c r="E20" s="17" t="s">
        <v>277</v>
      </c>
      <c r="F20" t="s">
        <v>88</v>
      </c>
      <c r="G20" t="s">
        <v>278</v>
      </c>
      <c r="H20" t="s">
        <v>127</v>
      </c>
      <c r="I20" t="s">
        <v>128</v>
      </c>
      <c r="J20" t="s">
        <v>66</v>
      </c>
      <c r="K20">
        <v>4</v>
      </c>
      <c r="L20" s="5" t="s">
        <v>129</v>
      </c>
    </row>
    <row r="21" spans="2:16" ht="14.45">
      <c r="C21" s="11"/>
      <c r="D21" s="11"/>
      <c r="E21" s="11"/>
      <c r="F21" s="12"/>
      <c r="G21" s="13"/>
      <c r="H21" s="13"/>
      <c r="I21" s="13"/>
      <c r="J21" s="13"/>
      <c r="K21" s="13"/>
    </row>
    <row r="22" spans="2:16" ht="57.95">
      <c r="C22" s="4" t="s">
        <v>279</v>
      </c>
      <c r="D22" s="17">
        <v>1045784711</v>
      </c>
      <c r="E22" s="17" t="s">
        <v>62</v>
      </c>
      <c r="F22" t="s">
        <v>88</v>
      </c>
      <c r="G22" t="s">
        <v>280</v>
      </c>
      <c r="H22" s="10" t="s">
        <v>281</v>
      </c>
      <c r="I22" t="s">
        <v>134</v>
      </c>
      <c r="J22" s="10" t="s">
        <v>66</v>
      </c>
      <c r="K22" s="10">
        <v>10</v>
      </c>
    </row>
    <row r="23" spans="2:16" ht="14.45">
      <c r="C23" s="11"/>
      <c r="D23" s="11"/>
      <c r="E23" s="11"/>
      <c r="F23" s="12"/>
      <c r="G23" s="13"/>
      <c r="H23" s="13"/>
      <c r="I23" s="13"/>
      <c r="J23" s="13"/>
      <c r="K23" s="13"/>
    </row>
    <row r="24" spans="2:16" ht="57.95">
      <c r="C24" s="4" t="s">
        <v>282</v>
      </c>
      <c r="E24" s="17" t="s">
        <v>283</v>
      </c>
      <c r="F24" t="s">
        <v>257</v>
      </c>
      <c r="G24" t="s">
        <v>284</v>
      </c>
      <c r="H24" t="s">
        <v>138</v>
      </c>
      <c r="J24" t="s">
        <v>66</v>
      </c>
      <c r="K24">
        <v>2</v>
      </c>
      <c r="L24" s="5" t="s">
        <v>139</v>
      </c>
    </row>
    <row r="25" spans="2:16" ht="14.45">
      <c r="B25" t="s">
        <v>12</v>
      </c>
      <c r="C25" s="4"/>
      <c r="E25" s="17" t="s">
        <v>285</v>
      </c>
      <c r="H25" t="s">
        <v>143</v>
      </c>
      <c r="L25" s="5"/>
    </row>
    <row r="26" spans="2:16" ht="14.45">
      <c r="B26" t="s">
        <v>12</v>
      </c>
      <c r="C26" s="4"/>
      <c r="D26" s="17">
        <v>1045784711</v>
      </c>
      <c r="E26" s="17" t="s">
        <v>62</v>
      </c>
      <c r="F26" t="s">
        <v>88</v>
      </c>
      <c r="G26" t="s">
        <v>286</v>
      </c>
      <c r="H26" s="10" t="s">
        <v>281</v>
      </c>
      <c r="J26" s="10" t="s">
        <v>66</v>
      </c>
      <c r="K26" s="10">
        <v>10</v>
      </c>
    </row>
    <row r="27" spans="2:16" ht="14.45">
      <c r="B27" t="s">
        <v>12</v>
      </c>
      <c r="C27" s="4"/>
      <c r="E27" s="6" t="s">
        <v>266</v>
      </c>
      <c r="F27" t="s">
        <v>88</v>
      </c>
      <c r="G27" t="s">
        <v>267</v>
      </c>
    </row>
    <row r="28" spans="2:16" ht="29.1">
      <c r="B28" t="s">
        <v>12</v>
      </c>
      <c r="C28" s="4"/>
      <c r="E28" s="6" t="s">
        <v>269</v>
      </c>
      <c r="F28" t="s">
        <v>88</v>
      </c>
      <c r="G28" t="s">
        <v>270</v>
      </c>
      <c r="L28" s="5" t="s">
        <v>271</v>
      </c>
    </row>
    <row r="29" spans="2:16" ht="14.45">
      <c r="B29" t="s">
        <v>12</v>
      </c>
      <c r="C29" s="4"/>
      <c r="E29" s="39" t="s">
        <v>273</v>
      </c>
      <c r="F29" t="s">
        <v>88</v>
      </c>
      <c r="G29" t="s">
        <v>274</v>
      </c>
    </row>
    <row r="30" spans="2:16" ht="29.1">
      <c r="B30" t="s">
        <v>12</v>
      </c>
      <c r="C30" s="4"/>
      <c r="E30" s="38" t="s">
        <v>276</v>
      </c>
      <c r="F30" t="s">
        <v>88</v>
      </c>
      <c r="G30" t="s">
        <v>115</v>
      </c>
      <c r="L30" s="5" t="s">
        <v>117</v>
      </c>
    </row>
    <row r="31" spans="2:16" ht="14.45">
      <c r="B31" t="s">
        <v>12</v>
      </c>
      <c r="C31" s="4"/>
      <c r="E31" s="17" t="s">
        <v>287</v>
      </c>
      <c r="L31" s="5"/>
    </row>
    <row r="32" spans="2:16" ht="14.45">
      <c r="B32" t="s">
        <v>12</v>
      </c>
      <c r="E32" s="17" t="s">
        <v>288</v>
      </c>
      <c r="H32" t="s">
        <v>147</v>
      </c>
    </row>
    <row r="33" spans="2:12" ht="14.45">
      <c r="B33" t="s">
        <v>12</v>
      </c>
      <c r="E33" s="17" t="s">
        <v>62</v>
      </c>
      <c r="F33" t="s">
        <v>88</v>
      </c>
      <c r="G33" t="s">
        <v>289</v>
      </c>
      <c r="H33" s="10" t="s">
        <v>281</v>
      </c>
      <c r="J33" s="10" t="s">
        <v>66</v>
      </c>
      <c r="K33" s="10">
        <v>10</v>
      </c>
    </row>
    <row r="34" spans="2:12" ht="14.45">
      <c r="B34" t="s">
        <v>12</v>
      </c>
      <c r="E34" s="39" t="s">
        <v>266</v>
      </c>
      <c r="F34" t="s">
        <v>88</v>
      </c>
      <c r="G34" t="s">
        <v>267</v>
      </c>
    </row>
    <row r="35" spans="2:12" ht="29.1">
      <c r="B35" t="s">
        <v>12</v>
      </c>
      <c r="E35" s="39" t="s">
        <v>269</v>
      </c>
      <c r="F35" t="s">
        <v>88</v>
      </c>
      <c r="G35" t="s">
        <v>270</v>
      </c>
      <c r="L35" s="5" t="s">
        <v>271</v>
      </c>
    </row>
    <row r="36" spans="2:12" ht="14.45">
      <c r="B36" t="s">
        <v>12</v>
      </c>
      <c r="E36" s="6" t="s">
        <v>273</v>
      </c>
      <c r="F36" t="s">
        <v>88</v>
      </c>
      <c r="G36" t="s">
        <v>274</v>
      </c>
    </row>
    <row r="37" spans="2:12" ht="29.1">
      <c r="B37" t="s">
        <v>12</v>
      </c>
      <c r="E37" s="17" t="s">
        <v>290</v>
      </c>
      <c r="F37" t="s">
        <v>88</v>
      </c>
      <c r="G37" t="s">
        <v>115</v>
      </c>
      <c r="L37" s="5" t="s">
        <v>117</v>
      </c>
    </row>
    <row r="38" spans="2:12" ht="14.45" hidden="1">
      <c r="E38" s="6"/>
    </row>
    <row r="39" spans="2:12" ht="14.45">
      <c r="B39" t="s">
        <v>12</v>
      </c>
      <c r="E39" s="6" t="s">
        <v>154</v>
      </c>
    </row>
    <row r="40" spans="2:12" ht="14.45">
      <c r="E40" s="17"/>
    </row>
  </sheetData>
  <mergeCells count="2">
    <mergeCell ref="A1:G1"/>
    <mergeCell ref="L1:M1"/>
  </mergeCells>
  <phoneticPr fontId="8" type="noConversion"/>
  <pageMargins left="0.7" right="0.7" top="0.78740157499999996" bottom="0.78740157499999996" header="0.3" footer="0.3"/>
  <headerFooter>
    <oddFooter>&amp;L_x000D_&amp;1#&amp;"Aptos"&amp;10&amp;K000000 TLP:AMBER - vertraulich</oddFoot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f20c337-da6c-4823-a7c5-4a1c4b26feb7" xsi:nil="true"/>
    <lcf76f155ced4ddcb4097134ff3c332f xmlns="e4361cca-6ff4-4873-ad8b-ea1762d80a5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3513D42BAB94749BF98730FF7F7E801" ma:contentTypeVersion="12" ma:contentTypeDescription="Ein neues Dokument erstellen." ma:contentTypeScope="" ma:versionID="831cb58b383d8884c7e5dca72194776c">
  <xsd:schema xmlns:xsd="http://www.w3.org/2001/XMLSchema" xmlns:xs="http://www.w3.org/2001/XMLSchema" xmlns:p="http://schemas.microsoft.com/office/2006/metadata/properties" xmlns:ns2="e4361cca-6ff4-4873-ad8b-ea1762d80a5f" xmlns:ns3="4f20c337-da6c-4823-a7c5-4a1c4b26feb7" targetNamespace="http://schemas.microsoft.com/office/2006/metadata/properties" ma:root="true" ma:fieldsID="c125a80765dc01523d59b0c56d94c8c0" ns2:_="" ns3:_="">
    <xsd:import namespace="e4361cca-6ff4-4873-ad8b-ea1762d80a5f"/>
    <xsd:import namespace="4f20c337-da6c-4823-a7c5-4a1c4b26fe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361cca-6ff4-4873-ad8b-ea1762d80a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dmarkierungen" ma:readOnly="false" ma:fieldId="{5cf76f15-5ced-4ddc-b409-7134ff3c332f}" ma:taxonomyMulti="true" ma:sspId="12130dff-0f6b-4ee7-bbfa-3cb338db2e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20c337-da6c-4823-a7c5-4a1c4b26feb7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f25f374b-01dc-49c5-b191-83f82b9e1e05}" ma:internalName="TaxCatchAll" ma:showField="CatchAllData" ma:web="4f20c337-da6c-4823-a7c5-4a1c4b26fe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0C1E69-741B-45E1-A953-495458A4D4B9}"/>
</file>

<file path=customXml/itemProps2.xml><?xml version="1.0" encoding="utf-8"?>
<ds:datastoreItem xmlns:ds="http://schemas.openxmlformats.org/officeDocument/2006/customXml" ds:itemID="{9E91B238-8AC5-4CE7-B700-01E234A77C83}"/>
</file>

<file path=customXml/itemProps3.xml><?xml version="1.0" encoding="utf-8"?>
<ds:datastoreItem xmlns:ds="http://schemas.openxmlformats.org/officeDocument/2006/customXml" ds:itemID="{5E10D78D-6FBE-4612-BDE7-C8D02C8FFEF5}"/>
</file>

<file path=docMetadata/LabelInfo.xml><?xml version="1.0" encoding="utf-8"?>
<clbl:labelList xmlns:clbl="http://schemas.microsoft.com/office/2020/mipLabelMetadata">
  <clbl:label id="{2d8b24e5-b9a4-4e15-ba29-0d61d2b19ad1}" enabled="1" method="Standard" siteId="{7d463204-c9c5-402a-a1c6-f7bbe8e5ee1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Gerhard, Nico</dc:creator>
  <cp:keywords/>
  <dc:description/>
  <cp:lastModifiedBy/>
  <cp:revision/>
  <dcterms:created xsi:type="dcterms:W3CDTF">2024-12-18T14:27:51Z</dcterms:created>
  <dcterms:modified xsi:type="dcterms:W3CDTF">2026-03-20T14:56:07Z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0x010100A3513D42BAB94749BF98730FF7F7E801</vt:lpwstr>
  </property>
  <property fmtid="{D5CDD505-2E9C-101B-9397-08002B2CF9AE}" pid="3" name="MediaServiceImageTags">
    <vt:lpwstr/>
  </property>
</Properties>
</file>