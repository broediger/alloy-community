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evngrp.sharepoint.com/teams/AG_2311_00474_EVN/Arbeitsgruppen Dokumente/05_Architektur/01 Energielieferverträge für Organisation erstellen-ändern/Prozess Vertrag errichten - Erstinbetriebnahme bei einlangendem BELNB BU_NEU/Schnittstelle CRM - ISU (GP Generierung)/JSON/"/>
    </mc:Choice>
  </mc:AlternateContent>
  <xr:revisionPtr revIDLastSave="0" documentId="8_{3CD6EF55-2AB7-46AC-A5E8-B419A201CF70}" xr6:coauthVersionLast="47" xr6:coauthVersionMax="47" xr10:uidLastSave="{00000000-0000-0000-0000-000000000000}"/>
  <bookViews>
    <workbookView xWindow="-108" yWindow="-108" windowWidth="23256" windowHeight="12252" tabRatio="593" firstSheet="3" activeTab="3" xr2:uid="{655BD633-04C1-406A-9543-AC8C28F02AC4}"/>
  </bookViews>
  <sheets>
    <sheet name="Historie" sheetId="7" r:id="rId1"/>
    <sheet name="Service Bus" sheetId="3" r:id="rId2"/>
    <sheet name="Interface Rules" sheetId="4" r:id="rId3"/>
    <sheet name="Interface Mapping (Main Doc)" sheetId="2" r:id="rId4"/>
    <sheet name="API Response" sheetId="6" r:id="rId5"/>
    <sheet name="Enumerations" sheetId="5" r:id="rId6"/>
  </sheets>
  <definedNames>
    <definedName name="_xlnm._FilterDatabase" localSheetId="5" hidden="1">Enumerations!$A$2:$E$2</definedName>
    <definedName name="_xlnm._FilterDatabase" localSheetId="3" hidden="1">'Interface Mapping (Main Doc)'!$A$2:$P$72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6" i="2" l="1"/>
  <c r="E42" i="2"/>
  <c r="E43" i="2"/>
  <c r="E47" i="2"/>
  <c r="E45" i="2" s="1"/>
  <c r="E44" i="2" s="1"/>
  <c r="E48" i="2"/>
  <c r="C51" i="2"/>
  <c r="E24" i="2"/>
  <c r="C63" i="2"/>
  <c r="C64" i="2"/>
  <c r="C66" i="2"/>
  <c r="C70" i="2"/>
  <c r="C7" i="2"/>
  <c r="C16" i="2"/>
  <c r="E4" i="2"/>
  <c r="E12" i="2"/>
  <c r="E13" i="2"/>
  <c r="E23" i="2"/>
  <c r="E35" i="2"/>
  <c r="E36" i="2"/>
  <c r="E58" i="2"/>
  <c r="E59" i="2"/>
  <c r="E71" i="2"/>
  <c r="E72" i="2"/>
  <c r="E3" i="2"/>
  <c r="C3" i="2"/>
  <c r="C4" i="2"/>
  <c r="C6" i="2"/>
  <c r="C8" i="2"/>
  <c r="C9" i="2"/>
  <c r="C10" i="2"/>
  <c r="C11" i="2"/>
  <c r="C12" i="2"/>
  <c r="C13" i="2"/>
  <c r="C14" i="2"/>
  <c r="C15" i="2"/>
  <c r="C17" i="2"/>
  <c r="C18" i="2"/>
  <c r="C19" i="2"/>
  <c r="C20" i="2"/>
  <c r="C21" i="2"/>
  <c r="C22" i="2"/>
  <c r="C23" i="2"/>
  <c r="C24" i="2"/>
  <c r="C25" i="2"/>
  <c r="C26" i="2"/>
  <c r="C27" i="2"/>
  <c r="C28" i="2"/>
  <c r="C29" i="2"/>
  <c r="C30" i="2"/>
  <c r="C31" i="2"/>
  <c r="C32" i="2"/>
  <c r="C33" i="2"/>
  <c r="C34" i="2"/>
  <c r="C35" i="2"/>
  <c r="C36" i="2"/>
  <c r="C37" i="2"/>
  <c r="C38" i="2"/>
  <c r="C39" i="2"/>
  <c r="C40" i="2"/>
  <c r="C41" i="2"/>
  <c r="C42" i="2"/>
  <c r="C48" i="2"/>
  <c r="C49" i="2"/>
  <c r="C50" i="2"/>
  <c r="C52" i="2"/>
  <c r="C53" i="2"/>
  <c r="C54" i="2"/>
  <c r="C55" i="2"/>
  <c r="C56" i="2"/>
  <c r="C57" i="2"/>
  <c r="C58" i="2"/>
  <c r="C59" i="2"/>
  <c r="C61" i="2"/>
  <c r="C62" i="2"/>
  <c r="C67" i="2"/>
  <c r="C68" i="2"/>
  <c r="C69" i="2"/>
  <c r="C65" i="2"/>
  <c r="C5" i="2"/>
  <c r="E57" i="2"/>
  <c r="E56" i="2"/>
  <c r="E55" i="2"/>
  <c r="E54" i="2"/>
  <c r="E53" i="2"/>
  <c r="E51" i="2" s="1"/>
  <c r="E52" i="2"/>
  <c r="E50" i="2"/>
  <c r="E49" i="2"/>
  <c r="E41" i="2" s="1"/>
  <c r="E40" i="2" s="1"/>
  <c r="E39" i="2" s="1"/>
  <c r="E38" i="2" s="1"/>
  <c r="E37" i="2" s="1"/>
  <c r="E34" i="2"/>
  <c r="E33" i="2"/>
  <c r="E32" i="2"/>
  <c r="E31" i="2"/>
  <c r="E30" i="2"/>
  <c r="E29" i="2"/>
  <c r="E28" i="2"/>
  <c r="E27" i="2"/>
  <c r="E22" i="2" s="1"/>
  <c r="E21" i="2" s="1"/>
  <c r="E20" i="2" s="1"/>
  <c r="E19" i="2" s="1"/>
  <c r="E18" i="2" s="1"/>
  <c r="E26" i="2"/>
  <c r="E25" i="2"/>
  <c r="E17" i="2" l="1"/>
  <c r="E15" i="2" s="1"/>
  <c r="E14" i="2" s="1"/>
  <c r="E11" i="2" s="1"/>
  <c r="E16" i="2"/>
  <c r="E10" i="2"/>
  <c r="E9" i="2" s="1"/>
  <c r="E8" i="2" s="1"/>
  <c r="E6" i="2" s="1"/>
  <c r="E70" i="2" s="1"/>
  <c r="E62" i="2" s="1"/>
  <c r="E7" i="2"/>
  <c r="E5" i="2" s="1"/>
  <c r="E69" i="2"/>
  <c r="E61" i="2"/>
  <c r="E6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tc={6619FA35-AF18-4054-882A-7DEEEBE97359}</author>
  </authors>
  <commentList>
    <comment ref="L63" authorId="0" shapeId="0" xr:uid="{6619FA35-AF18-4054-882A-7DEEEBE97359}">
      <text>
        <t>[Threaded comment]
Your version of Excel allows you to read this threaded comment; however, any edits to it will get removed if the file is opened in a newer version of Excel. Learn more: https://go.microsoft.com/fwlink/?linkid=870924
Comment:
    AD	Andorra
AE	Ver.Arab.Emir.
AF	Afghanistan
AG	Antigua/Barbuda
AI	Anguilla
AL	Albanien
AM	Armenien
AO	Angola
AQ	Antarktis
AR	Argentinien
AS	Samoa, Amerikan
AT	Österreich
AU	Australien
AW	Aruba
AX	Alandinseln
AZ	Aserbaidschan
BA	Bosnien-Herz.
BB	Barbados
BD	Bangladesch
BE	Belgien
BF	Burkina-Faso
BG	Bulgarien
BH	Bahrain
BI	Burundi
BJ	Benin
BL	St. Barthélemy
BM	Bermuda
BN	Brunei Drussal.
BO	Bolivien
BQ	Bonaire, Saba
BR	Brasilien
BS	Bahamas
BT	Bhutan
BV	Bouvetinsel
BW	Botsuana
BY	Belarus
BZ	Belize
CA	Kanada
CC	Kokosinseln
CD	Republik Kongo
CF	Zentralaf. Rep.
CG	Kongo
CH	Schweiz
CI	Côte d'Ivoire
CK	Cookinseln
CL	Chile
CM	Kamerun
CN	China
CO	Kolumbien
CR	Costa Rica
CU	Kuba
CV	Cabo Verde
CW	Curaçao
CX	Weihnachtsinsel
CY	Zypern
CZ	Tschechien
DE	Deutschland
DJ	Dschibuti
DK	Dänemark
DM	Dominica
DO	Dominik. Rep.
DZ	Algerien
EC	Ecuador
EE	Estland
EG	Ägypten
EH	Westsahara
ER	Eritrea
ES	Spanien
ET	Äthiopien
FI	Finnland
FJ	Fidschi
FK	Falklandinseln
FM	Mikronesien
FO	Färöer
FR	Frankreich
GA	Gabun
GB	Verein. Königr.
GD	Grenada
GE	Georgien
GF	Französ.Guayana
GG	Guernsey
GH	Ghana
GI	Gibraltar
GL	Grönland
GM	Gambia
GN	Guinea
GP	Guadeloupe
GQ	Äquatorialguine
GR	Griechenland
GS	S. Sandwich Ins
GT	Guatemala
GU	Guam
GW	Guinea-Bissau
GY	Guyana
HK	Hongkong
HM	Heard/McDon.Ins
HN	Honduras
HR	Kroatien
HT	Haiti
HU	Ungarn
ID	Indonesien
IE	Irland
IL	Israel
IM	Insel Man
IN	Indien
IO	Brit.Geb.Ind.Oz
IQ	Irak
IR	Iran
IS	Island
IT	Italien
JE	Jersey
JM	Jamaika
JO	Jordanien
JP	Japan
KE	Kenia
KG	Kirgisistan
KH	Kambodscha
KI	Kiribati
KM	Komoren
KN	St.Kitts&amp;Nevis
KP	Nordkorea
KR	Südkorea
KW	Kuwait
KY	Kaimaninseln
KZ	Kasachstan
LA	Laos
LB	Libanon
LC	St. Lucia
LI	Liechtenstein
LK	Sri Lanka
LR	Liberia
LS	Lesotho
LT	Litauen
LU	Luxemburg
LV	Lettland
LY	Libyen
MA	Marokko
MC	Monaco
MD	Moldau
ME	Montenegro
MF	St. Martin
MG	Madagaskar
MH	Marshallinseln
MK	Nordmazedonien
ML	Mali
MM	Myanmar
MN	Mongolei
MO	Macau
MP	Nördl. Marianen
MQ	Martinique
MR	Mauretanien
MS	Montserrat
MT	Malta
MU	Mauritius
MV	Malediven
MW	Malawi
MX	Mexiko
MY	Malaysia
MZ	Mosambik
NA	Namibia
NC	Neukaledonien
NE	Niger
NF	Norfolkinsel
NG	Nigeria
NI	Nicaragua
NL	Niederlande
NO	Norwegen
NP	Nepal
NR	Nauru
NU	Niue
NZ	Neuseeland
OM	Oman
PA	Panama
PE	Peru
PF	FranzPolynesien
PG	Papua-Neuguinea
PH	Philippinen
PK	Pakistan
PL	Polen
PM	StPier.,Miquel.
PN	Pitcairninseln
PR	Puerto Rico
PS	Palästina
PT	Portugal
PW	Palau
PY	Paraguay
QA	Katar
RE	Reunion
RO	Rumänien
RS	Serbien
RU	Russische Foed.
RW	Ruanda
SA	Saudi-Arabien
SB	Salomonen
SC	Seychellen
SD	Sudan
SE	Schweden
SG	Singapur
SH	St. Helena
SI	Slowenien
SJ	Spitzbergen
SK	Slowakei
SL	Sierra Leone
SM	San Marino
SN	Senegal
SO	Somalia
SR	Suriname
SS	Südsudan
ST	S.Tome,Principe
SV	El Salvador
SX	Sint Maarten
SY	Syrien
SZ	Eswatini
TC	Turks-,Caicosin
TD	Tschad
TF	French S.Territ
TG	Togo
TH	Thailand
TJ	Tadschikistan
TK	Tokelau
TL	Timor-Leste
TM	Turkmenistan
TN	Tunesien
TO	Tonga
TR	Türkei
TT	Trinidad,Tobago
TV	Tuvalu
TW	Taiwan
TZ	Tansania
UA	Ukraine
UG	Uganda
UM	Minor Outl.Ins.
US	USA
UY	Uruguay
UZ	Usbekistan
VA	Vatikanstadt
VC	St. Vincent
VE	Venezuela
VG	Brit.Jungferni.
VI	Amer.Jungferni.
VN	Vietnam
VU	Vanuatu
WF	Wallis,Futuna
WS	Samoa
YE	Jemen
YT	Mayotte
ZA	Südafrika
ZM	Sambia
ZW	Simbabwe</t>
      </text>
    </comment>
  </commentList>
</comments>
</file>

<file path=xl/sharedStrings.xml><?xml version="1.0" encoding="utf-8"?>
<sst xmlns="http://schemas.openxmlformats.org/spreadsheetml/2006/main" count="1356" uniqueCount="628">
  <si>
    <t>CRM2ISU - GP Erstellung - Änderungshistorie</t>
  </si>
  <si>
    <t>Durchgeführte Änderungen an dem Interface Mapping werden hier angeführt sowie in dem Tab "Interface Mapping (Main Doc)" blau hervorgehoben. Die aktuell gültige Version ist dem Filename zu entnehmen</t>
  </si>
  <si>
    <t>Version</t>
  </si>
  <si>
    <t>Datum</t>
  </si>
  <si>
    <t>Beschreibung</t>
  </si>
  <si>
    <t>Jira Link zur US</t>
  </si>
  <si>
    <t>Änderung durchgeführt durch</t>
  </si>
  <si>
    <t>0.0</t>
  </si>
  <si>
    <t>n.a.</t>
  </si>
  <si>
    <t>Initiale Datei</t>
  </si>
  <si>
    <t> </t>
  </si>
  <si>
    <t>1.1</t>
  </si>
  <si>
    <t>Enumeration Veralssenschaft nach ergänzt</t>
  </si>
  <si>
    <t>- keine separate</t>
  </si>
  <si>
    <t> 1.2</t>
  </si>
  <si>
    <t>Björn Rödiger</t>
  </si>
  <si>
    <t> 1.3</t>
  </si>
  <si>
    <t>Change occurencies vorname,nachname, name1 -&gt; is optional</t>
  </si>
  <si>
    <t> 1.4</t>
  </si>
  <si>
    <t>add companyRegistrationNumber</t>
  </si>
  <si>
    <t>send external value of evn_steuernummerntypcode</t>
  </si>
  <si>
    <t>Bug 7742</t>
  </si>
  <si>
    <t>Theresa Trawöger</t>
  </si>
  <si>
    <t>1.6</t>
  </si>
  <si>
    <t>KONZ Enum Geschäftspartnerart</t>
  </si>
  <si>
    <t>1.7</t>
  </si>
  <si>
    <t>make houseNumber optional</t>
  </si>
  <si>
    <t>1.8</t>
  </si>
  <si>
    <t>Hinzufügen Kommunikationsinformationen, Mail und Telefonnummer</t>
  </si>
  <si>
    <t>https://jira.apps.evn.at/browse/SFP-1719</t>
  </si>
  <si>
    <t>Connection String for Service Bus DEV: Endpoint=</t>
  </si>
  <si>
    <t>Connection String for Service Bus BUILD: Endpoint=</t>
  </si>
  <si>
    <t>Connection String for Service Bus UAT: Endpoint=</t>
  </si>
  <si>
    <t>Connection String for Service Bus PROD: Endpoint=</t>
  </si>
  <si>
    <t>Topic: sbt-crmesint-essapisuinterfaces-&lt;stage&gt;</t>
  </si>
  <si>
    <r>
      <rPr>
        <b/>
        <sz val="11"/>
        <color rgb="FF000000"/>
        <rFont val="Calibri"/>
        <scheme val="minor"/>
      </rPr>
      <t>Subscription</t>
    </r>
    <r>
      <rPr>
        <sz val="11"/>
        <color rgb="FF000000"/>
        <rFont val="Calibri"/>
        <scheme val="minor"/>
      </rPr>
      <t>: sbts-updatebusinesscustomer-d365</t>
    </r>
  </si>
  <si>
    <t>Filter:</t>
  </si>
  <si>
    <t>[crmesint-source] != 'd365' AND [crmesint-operation]='updateBusinessCustomer'</t>
  </si>
  <si>
    <t xml:space="preserve">That is a custom property of the service bus message you will create and send.
ServiceBusMessage message = new ServiceBusMessage(content);
message.ApplicationProperties.Add(„crmesint-operation“, „xxx“);
 </t>
  </si>
  <si>
    <t>API Call</t>
  </si>
  <si>
    <t>Operation</t>
  </si>
  <si>
    <t>Endpoint</t>
  </si>
  <si>
    <t>https://apim-test.evn.at/crmesint/essapisu/v1/business-customers</t>
  </si>
  <si>
    <t>dev</t>
  </si>
  <si>
    <t>https://apim-dev.evn.at/crmesint/essapisu/v1/business-customers</t>
  </si>
  <si>
    <t>test</t>
  </si>
  <si>
    <t>Interface Rules</t>
  </si>
  <si>
    <t>§</t>
  </si>
  <si>
    <r>
      <rPr>
        <b/>
        <sz val="11"/>
        <color theme="1"/>
        <rFont val="Calibri"/>
        <family val="2"/>
        <scheme val="minor"/>
      </rPr>
      <t>Not all</t>
    </r>
    <r>
      <rPr>
        <sz val="11"/>
        <color theme="1"/>
        <rFont val="Calibri"/>
        <family val="2"/>
        <scheme val="minor"/>
      </rPr>
      <t xml:space="preserve"> Values in Payload are transmitted as Strings, encased by ""</t>
    </r>
  </si>
  <si>
    <r>
      <rPr>
        <b/>
        <sz val="11"/>
        <color rgb="FF000000"/>
        <rFont val="Calibri"/>
        <scheme val="minor"/>
      </rPr>
      <t xml:space="preserve">Date and Time </t>
    </r>
    <r>
      <rPr>
        <sz val="11"/>
        <color rgb="FF000000"/>
        <rFont val="Calibri"/>
        <scheme val="minor"/>
      </rPr>
      <t>values are passed as JSON (String) Datetime format ISO 8601 (e.g. "2017-04-13T15:51:04Z")</t>
    </r>
  </si>
  <si>
    <r>
      <rPr>
        <b/>
        <sz val="11"/>
        <color rgb="FF000000"/>
        <rFont val="Calibri"/>
        <scheme val="minor"/>
      </rPr>
      <t>Boolean</t>
    </r>
    <r>
      <rPr>
        <sz val="11"/>
        <color rgb="FF000000"/>
        <rFont val="Calibri"/>
        <scheme val="minor"/>
      </rPr>
      <t xml:space="preserve"> Values are passed always in the followign format true or false</t>
    </r>
  </si>
  <si>
    <r>
      <rPr>
        <b/>
        <sz val="11"/>
        <color rgb="FF000000"/>
        <rFont val="Calibri"/>
        <scheme val="minor"/>
      </rPr>
      <t>NULL</t>
    </r>
    <r>
      <rPr>
        <sz val="11"/>
        <color rgb="FF000000"/>
        <rFont val="Calibri"/>
        <scheme val="minor"/>
      </rPr>
      <t xml:space="preserve"> Values are passed as NULL</t>
    </r>
  </si>
  <si>
    <r>
      <rPr>
        <b/>
        <sz val="11"/>
        <color theme="1"/>
        <rFont val="Calibri"/>
        <family val="2"/>
        <scheme val="minor"/>
      </rPr>
      <t>Enumerated</t>
    </r>
    <r>
      <rPr>
        <sz val="11"/>
        <color theme="1"/>
        <rFont val="Calibri"/>
        <family val="2"/>
        <scheme val="minor"/>
      </rPr>
      <t xml:space="preserve"> Values are passed as Strings, exactly as presentedn in column "Enumerations"</t>
    </r>
  </si>
  <si>
    <r>
      <rPr>
        <b/>
        <sz val="11"/>
        <color theme="1"/>
        <rFont val="Calibri"/>
        <family val="2"/>
        <scheme val="minor"/>
      </rPr>
      <t>Decimal values</t>
    </r>
    <r>
      <rPr>
        <sz val="11"/>
        <color theme="1"/>
        <rFont val="Calibri"/>
        <family val="2"/>
        <scheme val="minor"/>
      </rPr>
      <t xml:space="preserve"> are represented as a number </t>
    </r>
    <r>
      <rPr>
        <sz val="11"/>
        <rFont val="Calibri"/>
        <family val="2"/>
        <scheme val="minor"/>
      </rPr>
      <t xml:space="preserve">with </t>
    </r>
    <r>
      <rPr>
        <b/>
        <sz val="11"/>
        <rFont val="Calibri"/>
        <family val="2"/>
        <scheme val="minor"/>
      </rPr>
      <t>decimalpoint</t>
    </r>
  </si>
  <si>
    <r>
      <t xml:space="preserve">When processing </t>
    </r>
    <r>
      <rPr>
        <b/>
        <sz val="11"/>
        <color theme="1"/>
        <rFont val="Calibri"/>
        <family val="2"/>
        <scheme val="minor"/>
      </rPr>
      <t>Main payload, look for Process Doc payload</t>
    </r>
    <r>
      <rPr>
        <sz val="11"/>
        <color theme="1"/>
        <rFont val="Calibri"/>
        <family val="2"/>
        <scheme val="minor"/>
      </rPr>
      <t>, if it is not found, wait 2 minutes (to be configurable (evn variable)) and try again as many times as configured. If still not found, process main doc without ISU Process Doc</t>
    </r>
  </si>
  <si>
    <t>Dynamcics 365 to ISU - Geschäftspartner - Neuanlage</t>
  </si>
  <si>
    <t>"</t>
  </si>
  <si>
    <t>line</t>
  </si>
  <si>
    <t>used</t>
  </si>
  <si>
    <t>prefix</t>
  </si>
  <si>
    <t>sample value</t>
  </si>
  <si>
    <t>JSON Sample</t>
  </si>
  <si>
    <t>occurence</t>
  </si>
  <si>
    <t>OData Bezeichnung</t>
  </si>
  <si>
    <t>Datenelement</t>
  </si>
  <si>
    <t>Datentyp</t>
  </si>
  <si>
    <t>Feldlänge/Wertebereich</t>
  </si>
  <si>
    <t>Enum</t>
  </si>
  <si>
    <t>JSON DATA TYPE (if empty=string)</t>
  </si>
  <si>
    <t>Mapping Logic from D365</t>
  </si>
  <si>
    <t>D365 Field ACCOUNT</t>
  </si>
  <si>
    <t>Notes</t>
  </si>
  <si>
    <t>{</t>
  </si>
  <si>
    <t>"Meta": {</t>
  </si>
  <si>
    <t>person/organisation</t>
  </si>
  <si>
    <t>1d471f69-969d-ee11-be37-6045bda1c84f</t>
  </si>
  <si>
    <t>0..1</t>
  </si>
  <si>
    <t>CRM_GUID</t>
  </si>
  <si>
    <t>ZCrmGuid</t>
  </si>
  <si>
    <t>CHAR</t>
  </si>
  <si>
    <t>GUID of ACCOUNT</t>
  </si>
  <si>
    <t>accountid</t>
  </si>
  <si>
    <t>1..1</t>
  </si>
  <si>
    <t>Geschaeftspartnertyp</t>
  </si>
  <si>
    <t>BusinessPartnerCategory</t>
  </si>
  <si>
    <t>BU_TYPE</t>
  </si>
  <si>
    <t>yes</t>
  </si>
  <si>
    <t>Write External Value of</t>
  </si>
  <si>
    <t>evn_geschaeftspartnertypcode</t>
  </si>
  <si>
    <t>External Values Pflegen</t>
  </si>
  <si>
    <t>true</t>
  </si>
  <si>
    <t>NatuerlichePerson</t>
  </si>
  <si>
    <t>IsNaturalPerson</t>
  </si>
  <si>
    <t>BU_NATURAL_PERSON</t>
  </si>
  <si>
    <t>(empty)
X</t>
  </si>
  <si>
    <t>Boolean</t>
  </si>
  <si>
    <t>=</t>
  </si>
  <si>
    <t>ACCOUNT|evn_natuerlichepersonflag</t>
  </si>
  <si>
    <t>HH</t>
  </si>
  <si>
    <t>Geschaeftspartnerart</t>
  </si>
  <si>
    <t>BusinessPartnerType</t>
  </si>
  <si>
    <t>BU_BPKIND</t>
  </si>
  <si>
    <t>evn_geschaeftspartnerartcode</t>
  </si>
  <si>
    <t>KG</t>
  </si>
  <si>
    <t>Berechtigungsgruppe</t>
  </si>
  <si>
    <t>AuthorizationGroup</t>
  </si>
  <si>
    <t>BU_AUGRP</t>
  </si>
  <si>
    <t>evn_authorisationsgruppecode</t>
  </si>
  <si>
    <t>Nach welcher Regel soll das befüllt werden? (immer KG?)</t>
  </si>
  <si>
    <t>Insolvenz</t>
  </si>
  <si>
    <t>to_BPCreditWorthiness-BusinessPartnerIsBankrupt</t>
  </si>
  <si>
    <t>Write true or false</t>
  </si>
  <si>
    <t>evn_insolvenzflag</t>
  </si>
  <si>
    <t>IN</t>
  </si>
  <si>
    <t>Klassifikation</t>
  </si>
  <si>
    <t>ZClassification</t>
  </si>
  <si>
    <t>evn_klassifzierungcode</t>
  </si>
  <si>
    <t>Sollen alle Werte in CRM aufgenommen werden?</t>
  </si>
  <si>
    <t>},</t>
  </si>
  <si>
    <t>"Namen": {</t>
  </si>
  <si>
    <t>Herr</t>
  </si>
  <si>
    <t>Anrede</t>
  </si>
  <si>
    <t>FormOfAddress</t>
  </si>
  <si>
    <t>evn_anredecode</t>
  </si>
  <si>
    <t>Externel Values von BELNB sind keine Zahlenwerte</t>
  </si>
  <si>
    <t>person</t>
  </si>
  <si>
    <t>Dr.</t>
  </si>
  <si>
    <t>Titelvor</t>
  </si>
  <si>
    <t>AcademicTitle</t>
  </si>
  <si>
    <t>= send with External Value</t>
  </si>
  <si>
    <t>evn_akademischertitelvorname</t>
  </si>
  <si>
    <t>Großer Unterscheid zwischen ISU und CRM Datenbasis</t>
  </si>
  <si>
    <t>BA</t>
  </si>
  <si>
    <t>Titelnachnach</t>
  </si>
  <si>
    <t>ZPostfixedAcademicTitle</t>
  </si>
  <si>
    <t>evn_akademischertitelnachname</t>
  </si>
  <si>
    <t>Peter</t>
  </si>
  <si>
    <t>Vorname</t>
  </si>
  <si>
    <t>FirstName</t>
  </si>
  <si>
    <t>BU_NAMEP_F</t>
  </si>
  <si>
    <t>evn_vorname</t>
  </si>
  <si>
    <t>Tosh</t>
  </si>
  <si>
    <t>Nachname</t>
  </si>
  <si>
    <t>LastName</t>
  </si>
  <si>
    <t>BU_NAMEP_L</t>
  </si>
  <si>
    <t>evn_nachname</t>
  </si>
  <si>
    <t>organisation</t>
  </si>
  <si>
    <t>Peters</t>
  </si>
  <si>
    <t>Name1</t>
  </si>
  <si>
    <t>OrganizationBPName1</t>
  </si>
  <si>
    <t>BU_NAMEOR1</t>
  </si>
  <si>
    <t>evn_name1</t>
  </si>
  <si>
    <t>Brunnenbau</t>
  </si>
  <si>
    <t>Name2</t>
  </si>
  <si>
    <t>OrganizationBPName2</t>
  </si>
  <si>
    <t>evn_name2</t>
  </si>
  <si>
    <t>Gesellschaft ohne</t>
  </si>
  <si>
    <t>Name3</t>
  </si>
  <si>
    <t>OrganizationBPName3</t>
  </si>
  <si>
    <t>evn_name3</t>
  </si>
  <si>
    <t>Schaufel</t>
  </si>
  <si>
    <t>Name4</t>
  </si>
  <si>
    <t>OrganizationBPName4</t>
  </si>
  <si>
    <t>evn_name4</t>
  </si>
  <si>
    <t>"Adresse": {</t>
  </si>
  <si>
    <t>Langestr</t>
  </si>
  <si>
    <t>Strasse</t>
  </si>
  <si>
    <t>to_BusinessPartnerAddress-StreetName</t>
  </si>
  <si>
    <t>AD_STREET / STRAS_GP</t>
  </si>
  <si>
    <t>address1_line1</t>
  </si>
  <si>
    <t>Hausnummer</t>
  </si>
  <si>
    <t>to_BusinessPartnerAddress-HouseNumber</t>
  </si>
  <si>
    <t>AD_HSNM1</t>
  </si>
  <si>
    <t>evn_hausnummer</t>
  </si>
  <si>
    <t>uns eck</t>
  </si>
  <si>
    <t>Hausnummerergaenzung</t>
  </si>
  <si>
    <t>to_BusinessPartnerAddress-HouseNumberSupplementText</t>
  </si>
  <si>
    <t>evn_hausnummerergaenzung</t>
  </si>
  <si>
    <t>Postleitzahl</t>
  </si>
  <si>
    <t>to_BusinessPartnerAddress-PostalCode</t>
  </si>
  <si>
    <t>PSTLZ</t>
  </si>
  <si>
    <t>address1_postalcode</t>
  </si>
  <si>
    <t>Kingstown</t>
  </si>
  <si>
    <t>Ort</t>
  </si>
  <si>
    <t>to_BusinessPartnerAddress-CityName</t>
  </si>
  <si>
    <t>AD_CITY1 / ORT01_GP</t>
  </si>
  <si>
    <t>address1_city</t>
  </si>
  <si>
    <t>Ghetto</t>
  </si>
  <si>
    <t>Ortsteil</t>
  </si>
  <si>
    <t>to_BusinessPartnerAddress-HomeCityName</t>
  </si>
  <si>
    <t>evn_ortsteil</t>
  </si>
  <si>
    <t>ReaggeaPlains</t>
  </si>
  <si>
    <t>Region</t>
  </si>
  <si>
    <t>to_BusinessPartnerAddress-Region</t>
  </si>
  <si>
    <t>evn_region</t>
  </si>
  <si>
    <t>Create Field in CRM</t>
  </si>
  <si>
    <t>NamederRSG</t>
  </si>
  <si>
    <t>Regionalstrukturgruppe</t>
  </si>
  <si>
    <t>ZRegioGroup</t>
  </si>
  <si>
    <t>evn_regionalstrukturgruppe</t>
  </si>
  <si>
    <t>AT</t>
  </si>
  <si>
    <t>Land</t>
  </si>
  <si>
    <t>to_BusinessPartnerAddress-Country</t>
  </si>
  <si>
    <t>LAND1_GP</t>
  </si>
  <si>
    <t>evn_landcode</t>
  </si>
  <si>
    <t>XXDEFAULT</t>
  </si>
  <si>
    <t>AdresseVerwendung</t>
  </si>
  <si>
    <t>to_BusinessPartnerAddress-toAddressUsage-AddressUsage</t>
  </si>
  <si>
    <t>hard code to "XXDEFAULT"</t>
  </si>
  <si>
    <t>"Postfach": {</t>
  </si>
  <si>
    <t>PostfachOrt</t>
  </si>
  <si>
    <t>to_BusinessPartnerAddress-POBoxDeviatingCityName</t>
  </si>
  <si>
    <t>evn_postfachort</t>
  </si>
  <si>
    <t>PLZPostfach</t>
  </si>
  <si>
    <t>to_BusinessPartnerAddress-POBoxPostalCode</t>
  </si>
  <si>
    <t>evn_postfachplz</t>
  </si>
  <si>
    <t>PO Box 73a</t>
  </si>
  <si>
    <t>Postfach</t>
  </si>
  <si>
    <t>to_BusinessPartnerAddress-POBox</t>
  </si>
  <si>
    <t>evn_postfach</t>
  </si>
  <si>
    <t>LanddesPostfachs</t>
  </si>
  <si>
    <t>to_BusinessPartnerAddress-POBoxDeviatingCountry</t>
  </si>
  <si>
    <t>evn_postfachlandcode</t>
  </si>
  <si>
    <t>KMA</t>
  </si>
  <si>
    <t>RegiondesPostfachs</t>
  </si>
  <si>
    <t>to_BusinessPartnerAddress-POBoxDeviatingRegion</t>
  </si>
  <si>
    <t>evn_postfachregion</t>
  </si>
  <si>
    <t>"Communication": {</t>
  </si>
  <si>
    <t>po_</t>
  </si>
  <si>
    <t>max@mustermann.at</t>
  </si>
  <si>
    <t>email</t>
  </si>
  <si>
    <t>emailaddress1</t>
  </si>
  <si>
    <t>+435525123456</t>
  </si>
  <si>
    <t>phoneNumber</t>
  </si>
  <si>
    <t>telephone1</t>
  </si>
  <si>
    <t>+43676333222</t>
  </si>
  <si>
    <t>mobileNumber</t>
  </si>
  <si>
    <t>evn_mobiltelefonnummer</t>
  </si>
  <si>
    <t>"Identifikationsmerkmale": {</t>
  </si>
  <si>
    <t>xxx</t>
  </si>
  <si>
    <t>Identifikationsart</t>
  </si>
  <si>
    <t>IdentificationType</t>
  </si>
  <si>
    <t>Write External Vaule of</t>
  </si>
  <si>
    <t>evn_identifikationsartcode</t>
  </si>
  <si>
    <t>Identifikationsnummer</t>
  </si>
  <si>
    <t>IdentificationNumber</t>
  </si>
  <si>
    <t>evn_identifikationsnummer</t>
  </si>
  <si>
    <t>companyRegistrationNumber</t>
  </si>
  <si>
    <t>evn_firmenbuchnummer</t>
  </si>
  <si>
    <t>2025 04 15: Besprochen - (DF) CRMV-1956</t>
  </si>
  <si>
    <t>AT0</t>
  </si>
  <si>
    <t>Steuernummerntyp</t>
  </si>
  <si>
    <t>to_BusinessPartnerTax-BPTaxType</t>
  </si>
  <si>
    <t>BPTAXTYPE</t>
  </si>
  <si>
    <t>evn_steuernummerntypcode</t>
  </si>
  <si>
    <t>Enums bitte noch schicken @Nico</t>
  </si>
  <si>
    <t>ATU123213812</t>
  </si>
  <si>
    <t>UID</t>
  </si>
  <si>
    <t>to_BusinessPartnerTax-TaxNumber</t>
  </si>
  <si>
    <t>evn_uidnummer</t>
  </si>
  <si>
    <t>2012-04-21T18:25:43-05:00</t>
  </si>
  <si>
    <t>Geburtsdatum</t>
  </si>
  <si>
    <t>BirthDate</t>
  </si>
  <si>
    <t>BU_BIRTHDT</t>
  </si>
  <si>
    <t>DATS</t>
  </si>
  <si>
    <t>evn_geburtsdatum</t>
  </si>
  <si>
    <t>Gruendungsdatum</t>
  </si>
  <si>
    <t>OrganizationFoundationDate</t>
  </si>
  <si>
    <t>evn_gruendungsdatum</t>
  </si>
  <si>
    <t>Branche</t>
  </si>
  <si>
    <t>to_BuPaIndustry-IndustrySector</t>
  </si>
  <si>
    <t>Get lowest Branche and write name in payload</t>
  </si>
  <si>
    <t>Wie können GP in CRM angelegt werden? Nur via LEAD Qualifizierung, oder auch direkt von USERN?</t>
  </si>
  <si>
    <t>Z001</t>
  </si>
  <si>
    <t>Branchensystem</t>
  </si>
  <si>
    <t>to_BuPaIndustry-IndustrySystemType</t>
  </si>
  <si>
    <t>If Branche is filled, write "Z001"</t>
  </si>
  <si>
    <t>"Z001",  means ÖNACE to ISU</t>
  </si>
  <si>
    <t>"Bank": {</t>
  </si>
  <si>
    <t>0003</t>
  </si>
  <si>
    <t>BankkontoID</t>
  </si>
  <si>
    <t>BankIdentification</t>
  </si>
  <si>
    <t>BU_BKVID</t>
  </si>
  <si>
    <t>BANKKONTO | evn_bankkontoidjegp</t>
  </si>
  <si>
    <t>Die BankIdentification kommt auch im Response retour, wenn nicht mitgegeben. 
Z.B. 0003 - wenn die hinzugefügten Bankdaten die dritten Bankdaten beim Partner sind</t>
  </si>
  <si>
    <t>UebertragungsartRechnung</t>
  </si>
  <si>
    <t>ZInvoiceType</t>
  </si>
  <si>
    <t>entfällt und wird im Zuge des Vorerfassungsbeleges übergeben</t>
  </si>
  <si>
    <t>UebertragungsformatRechnung</t>
  </si>
  <si>
    <t>ZInvoiceFormat</t>
  </si>
  <si>
    <t>rm</t>
  </si>
  <si>
    <t>Länder-/Regionenschlüssel der Bank</t>
  </si>
  <si>
    <t>to_BusinessPartnerBank-BankCountryKey</t>
  </si>
  <si>
    <t>BU_BANKS</t>
  </si>
  <si>
    <t>Enums in Kommentar</t>
  </si>
  <si>
    <t>Mögliche Länderschlüssel in Enums</t>
  </si>
  <si>
    <t>Bankschlüssel</t>
  </si>
  <si>
    <t>to_BusinessPartnerBank-BankNumber</t>
  </si>
  <si>
    <t>BU_BANKK</t>
  </si>
  <si>
    <t>Grundsätzlich BLZ, aber potentiell länderabhängig lt. SAP Customizing
Im Normalfall werden Banken unter ihrer BLZ geführt.
Falls die Bankdaten unter einem anderen Schlüssel, wie z.B. dem SWIFT-Code geführt werden sollen, kann auch eine externe Nummernvergabe vereinbart werden. Dazu muss das SAP Customizing länderspezifisch angepasst werden.
Transaktion oy17 (Feldprüfungen der Länder/Regionen): Hier kann länderspezifisch der Schlüssel für das Bankenverzeichnis eingestellt werden.
Z.B. Land/Region = AT
Bankschlüssel = 1 (Bankleitzahl)
Bankschlüssel = 4 (Extern vergeben)</t>
  </si>
  <si>
    <t>Max Mustermann</t>
  </si>
  <si>
    <t>Kontoinhaber</t>
  </si>
  <si>
    <t>to_BusinessPartnerBank-BankAccountHolderName</t>
  </si>
  <si>
    <t>BU_KOINH</t>
  </si>
  <si>
    <t>Mein Privatkonto</t>
  </si>
  <si>
    <t>Kontobezeichnung</t>
  </si>
  <si>
    <t>to_BusinessPartnerBank-BankAccountName</t>
  </si>
  <si>
    <t>BU_BANKACCNAME</t>
  </si>
  <si>
    <t>BankkontoGueltigAb</t>
  </si>
  <si>
    <t>to_BusinessPartnerBank-ValidityStartDate</t>
  </si>
  <si>
    <t>BU_BK_VALID_FROM_STR</t>
  </si>
  <si>
    <t>Example value: 2017-04-13T15:51:04Z</t>
  </si>
  <si>
    <t>BankkontoGueltigBis</t>
  </si>
  <si>
    <t>to_BusinessPartnerBank-ValidityEndDate</t>
  </si>
  <si>
    <t>BU_BK_VALID_TO_STR</t>
  </si>
  <si>
    <t>AT023302700000XXXXXX</t>
  </si>
  <si>
    <t>IBAN</t>
  </si>
  <si>
    <t>to_BusinessPartnerBank-IBAN</t>
  </si>
  <si>
    <t>BU_IBAN</t>
  </si>
  <si>
    <t>BIC</t>
  </si>
  <si>
    <t>SWIFT code (bitte konkrete Benennung durch Ronald Fassl)</t>
  </si>
  <si>
    <t>SWIFT-Code wird in SAP automatisch gesetzt</t>
  </si>
  <si>
    <t>}</t>
  </si>
  <si>
    <t>{
    "operationId": "955eebf8-4fac-4acc-a54c-2f81ef5c629a"
}</t>
  </si>
  <si>
    <t>Choice Name</t>
  </si>
  <si>
    <t>Choice Value</t>
  </si>
  <si>
    <t>Beschreibung (field in Interface Mapping)</t>
  </si>
  <si>
    <t>Interface Value (links vom =)</t>
  </si>
  <si>
    <t>Comment</t>
  </si>
  <si>
    <t>Person</t>
  </si>
  <si>
    <t>Geschäftspartnertyp</t>
  </si>
  <si>
    <t>1 = Person</t>
  </si>
  <si>
    <t>Organisation</t>
  </si>
  <si>
    <t>2 = Organisation</t>
  </si>
  <si>
    <t>GEMEINDE</t>
  </si>
  <si>
    <t>Geschäftspartnerart</t>
  </si>
  <si>
    <t>GMDE = Gemeinde</t>
  </si>
  <si>
    <t>GEW</t>
  </si>
  <si>
    <t>GW = Gewerbe</t>
  </si>
  <si>
    <t>GEW-GK</t>
  </si>
  <si>
    <t>GWGK = Gewerbe-Großkunden</t>
  </si>
  <si>
    <t>HH = Haushalt</t>
  </si>
  <si>
    <t>IND</t>
  </si>
  <si>
    <t>IND = Industrie</t>
  </si>
  <si>
    <t>KETTE</t>
  </si>
  <si>
    <t>KETT = Kettenkunden</t>
  </si>
  <si>
    <t>LAND</t>
  </si>
  <si>
    <t>LAND = Land</t>
  </si>
  <si>
    <t>LW</t>
  </si>
  <si>
    <t>LW = Landwirtschaft</t>
  </si>
  <si>
    <t>LW-IND</t>
  </si>
  <si>
    <t>LWGK = Landwirtschaft-Großkunden</t>
  </si>
  <si>
    <t>WV</t>
  </si>
  <si>
    <t>WV = Weiterverteiler</t>
  </si>
  <si>
    <t>WOWI</t>
  </si>
  <si>
    <t>WOWI = Wohnwirtschaft</t>
  </si>
  <si>
    <t>KONZ</t>
  </si>
  <si>
    <t>KONZ = Konzern</t>
  </si>
  <si>
    <t>evn_evn_authorisationsgruppecode</t>
  </si>
  <si>
    <t>KG = EVN Energievertrieb GmbH</t>
  </si>
  <si>
    <t>Bei BELNB immer KG</t>
  </si>
  <si>
    <t>KONZ = EVN Energieservices GmbH</t>
  </si>
  <si>
    <t>Frau</t>
  </si>
  <si>
    <t>0001 = Frau</t>
  </si>
  <si>
    <t>0002 = Herr</t>
  </si>
  <si>
    <t>Divers</t>
  </si>
  <si>
    <t>0005 = Divers</t>
  </si>
  <si>
    <t>Firma</t>
  </si>
  <si>
    <t>0003 = Firma</t>
  </si>
  <si>
    <t>Verlassenschaft Nach</t>
  </si>
  <si>
    <t>0007 = Verlassenschaft Nach</t>
  </si>
  <si>
    <t>evn_akademischertitelcode</t>
  </si>
  <si>
    <t>BA.-790530004</t>
  </si>
  <si>
    <t>Titel</t>
  </si>
  <si>
    <t>??</t>
  </si>
  <si>
    <t>Enumeriertes Akademischer TItel Feld wurde entschieden abzudrehen und durch 2 Freitextfelder zu ersetzen</t>
  </si>
  <si>
    <t>BSc.-790530005</t>
  </si>
  <si>
    <t>MA.-790530006</t>
  </si>
  <si>
    <t>MSc.-790530007</t>
  </si>
  <si>
    <t>Ph.d.-790530008</t>
  </si>
  <si>
    <t>Z001      Amtsdirektor</t>
  </si>
  <si>
    <t>Z002      Amtsrat</t>
  </si>
  <si>
    <t>Z003      Arch.</t>
  </si>
  <si>
    <t>Z004      Arch. Baumeister</t>
  </si>
  <si>
    <t>Z005      Arch. Dipl. Ing.</t>
  </si>
  <si>
    <t>Z006      Arch. Dipl. Ing. Dr</t>
  </si>
  <si>
    <t>Z007      Arch. Mag.</t>
  </si>
  <si>
    <t>Z008      Baumeister</t>
  </si>
  <si>
    <t>Z009      Bmstr. Dipl. Ing.</t>
  </si>
  <si>
    <t>Z010      Bmstr. Ing.</t>
  </si>
  <si>
    <t>Bürgm.-790530009</t>
  </si>
  <si>
    <t>Z011      Bürgermeister</t>
  </si>
  <si>
    <t>Z012      DDr.</t>
  </si>
  <si>
    <t>Z013      DI DI</t>
  </si>
  <si>
    <t>Z014      Dipl. HTL Ing.</t>
  </si>
  <si>
    <t>Z015      Dipl. Inf. (FH)</t>
  </si>
  <si>
    <t>Z016      Dipl. Päd. Ing.</t>
  </si>
  <si>
    <t>Z017      Dipl. Tierarzt</t>
  </si>
  <si>
    <t>Z018      Dipl. Volksw.</t>
  </si>
  <si>
    <t>Z019      Dipl.-Wirt.-Ing.(FH</t>
  </si>
  <si>
    <t>Z020      Dipl.-Bw.</t>
  </si>
  <si>
    <t>Z021      Dipl.-Dolm.</t>
  </si>
  <si>
    <t>Z023      Dipl. Ing.</t>
  </si>
  <si>
    <t>Z025      Dipl. Ing. (FH)</t>
  </si>
  <si>
    <t>Z026      Dipl. Ing. DDr</t>
  </si>
  <si>
    <t>Z027      Dipl. Ing. Dr.</t>
  </si>
  <si>
    <t>Z028      Dipl. Ing. Ing.</t>
  </si>
  <si>
    <t>Z029      Dipl.-Kfm. Mag.</t>
  </si>
  <si>
    <t>Z030      Dipl.-Päd.</t>
  </si>
  <si>
    <t>Z031      Dipl.PT</t>
  </si>
  <si>
    <t>Z032      Dipl.Verw.Wirt (FH)</t>
  </si>
  <si>
    <t>Z033      Diplom-Fachwirt</t>
  </si>
  <si>
    <t>Z034      Diplom-Volkswirt</t>
  </si>
  <si>
    <t>Z035      Dir.</t>
  </si>
  <si>
    <t>Z036      Dir. Mag.</t>
  </si>
  <si>
    <t>Z037      Dkfm.</t>
  </si>
  <si>
    <t>Z038      Dkfm. Dr.</t>
  </si>
  <si>
    <t>Z039      Dkfm. Ing. Dr.</t>
  </si>
  <si>
    <t>Dr.-790530000</t>
  </si>
  <si>
    <t>Z040      Dr.</t>
  </si>
  <si>
    <t>Dipl. Ing.-790530003</t>
  </si>
  <si>
    <t>Z041      Dr. Ing.</t>
  </si>
  <si>
    <t>Z042      Dr. Mag.</t>
  </si>
  <si>
    <t>Z043      Dr.med.univ.</t>
  </si>
  <si>
    <t>Z044      Gen.-Dir.</t>
  </si>
  <si>
    <t>Z045      Gen.-Dir. Dkfm.</t>
  </si>
  <si>
    <t>Z046      Gen.-Dir. Dlng.</t>
  </si>
  <si>
    <t>Z047      Gen.-Dir. Dr.</t>
  </si>
  <si>
    <t>Z048      Hofrat</t>
  </si>
  <si>
    <t>Z049      Hofrat Dipl. Ing.</t>
  </si>
  <si>
    <t>Z050      Hofrat Dr.</t>
  </si>
  <si>
    <t>Z051      Hofrat Mag.</t>
  </si>
  <si>
    <t>Z052      Hofrat Prof.</t>
  </si>
  <si>
    <t>Ing.-790530002</t>
  </si>
  <si>
    <t>Z053      Ing.</t>
  </si>
  <si>
    <t>Z054      Ing. Bmstr.</t>
  </si>
  <si>
    <t>Z055      Ing. Dr.</t>
  </si>
  <si>
    <t>Z056      Ing. Ing.</t>
  </si>
  <si>
    <t>Z057      Ing. Mag.</t>
  </si>
  <si>
    <t>Z058      Ing. Mag. (FH)</t>
  </si>
  <si>
    <t>Z059      Ing. Mag. Dr.</t>
  </si>
  <si>
    <t>Z060      Ing. MMag.</t>
  </si>
  <si>
    <t>Z061      Komm. Rat</t>
  </si>
  <si>
    <t>Z062      Komm.Rat Mag. Dr.</t>
  </si>
  <si>
    <t>Z063      Konsul Ingenieur</t>
  </si>
  <si>
    <t>Z064      Labg.</t>
  </si>
  <si>
    <t>Mag.-790530001</t>
  </si>
  <si>
    <t>Z065      Mag.</t>
  </si>
  <si>
    <t>Z066      Mag. (FH)</t>
  </si>
  <si>
    <t>Z067      Mag. DDr.</t>
  </si>
  <si>
    <t>Z068      Mag. Dipl. Ing.</t>
  </si>
  <si>
    <t>Z069      Mag. Dr.</t>
  </si>
  <si>
    <t>Z070      Mag. Ing. Dr.</t>
  </si>
  <si>
    <t>Z071      Mag. Pharm.</t>
  </si>
  <si>
    <t>Z072      Mag. Phil.</t>
  </si>
  <si>
    <t>Z073      Med.Rat Dr.</t>
  </si>
  <si>
    <t>Z074      Min.Rat</t>
  </si>
  <si>
    <t>Z075      Min.Rat Dr.</t>
  </si>
  <si>
    <t>Z076      MMag.</t>
  </si>
  <si>
    <t>Z077      MMag. Dr.</t>
  </si>
  <si>
    <t>Z078      MStr.</t>
  </si>
  <si>
    <t>Z079      OA Dr.</t>
  </si>
  <si>
    <t>Z080      OAmtsrat</t>
  </si>
  <si>
    <t>Z081      Oberst</t>
  </si>
  <si>
    <t>Z082      Oberstleutnant</t>
  </si>
  <si>
    <t>Z083      Ök. Rat</t>
  </si>
  <si>
    <t>Z084      Omed.Rat Dr.</t>
  </si>
  <si>
    <t>Z085      OStR</t>
  </si>
  <si>
    <t>Z086      OStR Mag.</t>
  </si>
  <si>
    <t>Z087      Pfarrer</t>
  </si>
  <si>
    <t>Z088      Prälat</t>
  </si>
  <si>
    <t>Z089      Prim. Dr.</t>
  </si>
  <si>
    <t>Z090      Priv.-Doz. Dr.phil.</t>
  </si>
  <si>
    <t>Z091      Prof.</t>
  </si>
  <si>
    <t>Z092      Prof. Dipl. Ing.</t>
  </si>
  <si>
    <t>Z093      Prof. Dipl. Ing. Dr.</t>
  </si>
  <si>
    <t>Z094      Prof. Dkfm.</t>
  </si>
  <si>
    <t>Z095      Prof. Dr.</t>
  </si>
  <si>
    <t>Z096      Prof. Dr. Dipl. Ing.</t>
  </si>
  <si>
    <t>Z097      Prof. Ing.</t>
  </si>
  <si>
    <t>Z098      Prof. Mag.</t>
  </si>
  <si>
    <t>Z099      Prokurist</t>
  </si>
  <si>
    <t>Z100      Reg. Rat</t>
  </si>
  <si>
    <t>Z101      Reg. Rat Ing.</t>
  </si>
  <si>
    <t>Z102      Schulrat</t>
  </si>
  <si>
    <t>Z103      Univ. Doz. DI. Dr.</t>
  </si>
  <si>
    <t>Z104      Univ. Doz. Dr.</t>
  </si>
  <si>
    <t>Z105      Univ. Prof. Dr.</t>
  </si>
  <si>
    <t>Z106      Vet. Rat. Dr.</t>
  </si>
  <si>
    <t>evn_evn_klassifzierungcode</t>
  </si>
  <si>
    <t>ACHTUNG KONTAKTE</t>
  </si>
  <si>
    <t>AK = ACHTUNG KONTAKTE</t>
  </si>
  <si>
    <t>Allgemeine Vollmacht - EVN KG</t>
  </si>
  <si>
    <t>AV = Allgemeine Vollmacht - EVN KG</t>
  </si>
  <si>
    <t>Beschluss eingelangt</t>
  </si>
  <si>
    <t>BE = Beschluss eingelangt</t>
  </si>
  <si>
    <t>Erwachsenenvertretung</t>
  </si>
  <si>
    <t>EW = Erwachsenenvertretung</t>
  </si>
  <si>
    <t>Grundversorgung</t>
  </si>
  <si>
    <t>GV = GRUNDVERSORGUNG</t>
  </si>
  <si>
    <t>Inkasso</t>
  </si>
  <si>
    <t>IN = ACTUNG INKASSO</t>
  </si>
  <si>
    <t>VERLASSENSCHAFT</t>
  </si>
  <si>
    <t>VL = VERLASSENSCHAFT</t>
  </si>
  <si>
    <t>evn_evn_identifikationsartcode</t>
  </si>
  <si>
    <t>Personalnummer EVN</t>
  </si>
  <si>
    <t>ZPERS = Personalnummer EVN</t>
  </si>
  <si>
    <t>FFG Förderung</t>
  </si>
  <si>
    <t>ZFFG = FFG Förderung</t>
  </si>
  <si>
    <t>Firmenbuchnummer</t>
  </si>
  <si>
    <t>ZFIRMN = Firmenbuchnummer</t>
  </si>
  <si>
    <t>Landwirtschaftl. Betriebsnummer</t>
  </si>
  <si>
    <t>ZLFBIS = Landwirtschaftl. Betriebsnummer</t>
  </si>
  <si>
    <t>Österreich</t>
  </si>
  <si>
    <t>Land / Land des Postfachs</t>
  </si>
  <si>
    <t>AT = Österreich</t>
  </si>
  <si>
    <t>Australien</t>
  </si>
  <si>
    <t>AU = Australien</t>
  </si>
  <si>
    <t>Bosnien-Herz.</t>
  </si>
  <si>
    <t>BA = Bosnien-Herz.</t>
  </si>
  <si>
    <t>Belgien</t>
  </si>
  <si>
    <t>BE = Belgien</t>
  </si>
  <si>
    <t>Bulgarien</t>
  </si>
  <si>
    <t>BG = Bulgarien</t>
  </si>
  <si>
    <t>Kanada</t>
  </si>
  <si>
    <t>CA = Kanada</t>
  </si>
  <si>
    <t>Schweiz</t>
  </si>
  <si>
    <t>CH = Schweiz</t>
  </si>
  <si>
    <t>Tschech. Rep.</t>
  </si>
  <si>
    <t>CZ = Tschechien</t>
  </si>
  <si>
    <t>Deutschland</t>
  </si>
  <si>
    <t>DE = Deutschland</t>
  </si>
  <si>
    <t>Dänemark</t>
  </si>
  <si>
    <t>DK = Dänemark</t>
  </si>
  <si>
    <t>Estland</t>
  </si>
  <si>
    <t>EE = Estland</t>
  </si>
  <si>
    <t>Ägypten</t>
  </si>
  <si>
    <t>EG = Ägypten</t>
  </si>
  <si>
    <t>Spanien</t>
  </si>
  <si>
    <t>ES = Spanien</t>
  </si>
  <si>
    <t>Finnland</t>
  </si>
  <si>
    <t>FI = Finnland</t>
  </si>
  <si>
    <t>Frankreich</t>
  </si>
  <si>
    <t>FR = Frankreich</t>
  </si>
  <si>
    <t>Verein. Königr.</t>
  </si>
  <si>
    <t>GB = Verein. Königr.</t>
  </si>
  <si>
    <t>Griechenland</t>
  </si>
  <si>
    <t>GR = Griechenland</t>
  </si>
  <si>
    <t>Kroatien</t>
  </si>
  <si>
    <t>HR = Kroatien</t>
  </si>
  <si>
    <t>Ungarn</t>
  </si>
  <si>
    <t>HU = Ungarn</t>
  </si>
  <si>
    <t>Israel</t>
  </si>
  <si>
    <t>IL = Israel</t>
  </si>
  <si>
    <t>Italien</t>
  </si>
  <si>
    <t>IT = Italien</t>
  </si>
  <si>
    <t>Kenia</t>
  </si>
  <si>
    <t>KE = Kenia</t>
  </si>
  <si>
    <t>Liechtenstein</t>
  </si>
  <si>
    <t>LI = Liechtenstein</t>
  </si>
  <si>
    <t>Luxemburg</t>
  </si>
  <si>
    <t>LU = Luxemburg</t>
  </si>
  <si>
    <t>Lettland</t>
  </si>
  <si>
    <t>LV = Lettland</t>
  </si>
  <si>
    <t>Monaco</t>
  </si>
  <si>
    <t>MC = Monaco</t>
  </si>
  <si>
    <t>Mazedonien</t>
  </si>
  <si>
    <t>MK = Nordmazedonien</t>
  </si>
  <si>
    <t>Malta</t>
  </si>
  <si>
    <t>MT = Malta</t>
  </si>
  <si>
    <t>Mexiko</t>
  </si>
  <si>
    <t>MX = Mexiko</t>
  </si>
  <si>
    <t>Namibia</t>
  </si>
  <si>
    <t>NA = Namibia</t>
  </si>
  <si>
    <t>Niederlande</t>
  </si>
  <si>
    <t>NL = Niederlande</t>
  </si>
  <si>
    <t>Norwegen</t>
  </si>
  <si>
    <t>NO = Norwegen</t>
  </si>
  <si>
    <t>Polen</t>
  </si>
  <si>
    <t>PL = Polen</t>
  </si>
  <si>
    <t>Portugal</t>
  </si>
  <si>
    <t>PT = Portugal</t>
  </si>
  <si>
    <t>Rumänien</t>
  </si>
  <si>
    <t>RO = Rumänien</t>
  </si>
  <si>
    <t>Russische Foed.</t>
  </si>
  <si>
    <t>RU = Russische Foed.</t>
  </si>
  <si>
    <t>Schweden</t>
  </si>
  <si>
    <t>SE = Schweden</t>
  </si>
  <si>
    <t>Slowenien</t>
  </si>
  <si>
    <t>SI = Slowenien</t>
  </si>
  <si>
    <t>Slowakei</t>
  </si>
  <si>
    <t>SK = Slowakei</t>
  </si>
  <si>
    <t>Thailand</t>
  </si>
  <si>
    <t>TH = Thailand</t>
  </si>
  <si>
    <t>Türkei</t>
  </si>
  <si>
    <t>TR = Türkei</t>
  </si>
  <si>
    <t>Ukraine</t>
  </si>
  <si>
    <t>UA = Ukraine</t>
  </si>
  <si>
    <t>Uganda</t>
  </si>
  <si>
    <t>UG = Uganda</t>
  </si>
  <si>
    <t>USA</t>
  </si>
  <si>
    <t>US = USA</t>
  </si>
  <si>
    <t>Südafrika</t>
  </si>
  <si>
    <t>ZA = Südafrika</t>
  </si>
  <si>
    <t xml:space="preserve"> Österreich: Umsatzsteuer-Id-Nr.</t>
  </si>
  <si>
    <t>AT0 = Österreich: Umsatzsteuer-Id-Nr.</t>
  </si>
  <si>
    <t xml:space="preserve"> Abgabenkontonummer</t>
  </si>
  <si>
    <t>AT5 = Abgabenkontonummer</t>
  </si>
  <si>
    <t xml:space="preserve"> Schweiz: UID-Nummer</t>
  </si>
  <si>
    <t>CH1 = Schweiz: UID-Nummer</t>
  </si>
  <si>
    <t>CH</t>
  </si>
  <si>
    <t xml:space="preserve"> Deutschland: Umsatzsteuer-IdentNummer</t>
  </si>
  <si>
    <t>DE0 = Deutschland: Umsatzsteuer-IdentNummer</t>
  </si>
  <si>
    <t>DE</t>
  </si>
  <si>
    <t xml:space="preserve"> Finnland: Umsatzsteuer-IdentNummer</t>
  </si>
  <si>
    <t>FI0 = Finnland: Umsatzsteuer-IdentNummer</t>
  </si>
  <si>
    <t xml:space="preserve"> Frankreich: Umsatzsteuer-IdentNummer</t>
  </si>
  <si>
    <t>FR0 = Frankreich: Umsatzsteuer-IdentNummer</t>
  </si>
  <si>
    <t xml:space="preserve"> Griechenland: Umsatzsteuer-IdentNummer</t>
  </si>
  <si>
    <t>GR0 = Griechenland: Umsatzsteuer-IdentNummer</t>
  </si>
  <si>
    <t xml:space="preserve"> Italien: Umsatzsteuer-IdentNummer</t>
  </si>
  <si>
    <t>IT0 = Italien: Umsatzsteuer-IdentNummer</t>
  </si>
  <si>
    <t xml:space="preserve"> Luxemburg: Umsatzsteuer-IdentNummer</t>
  </si>
  <si>
    <t>LU0 = Luxemburg: Umsatzsteuer-IdentNummer</t>
  </si>
  <si>
    <t xml:space="preserve"> Niederlande: Umsatzsteuer-IdentNummer</t>
  </si>
  <si>
    <t>NL0 = Niederlande: Umsatzsteuer-IdentNummer</t>
  </si>
  <si>
    <t xml:space="preserve"> Schweden: Umsatzsteuer-IdentNummer</t>
  </si>
  <si>
    <t>SE0 = Schweden: Umsatzsteuer-IdentNummer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</si>
</sst>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8"/>
      <color theme="0"/>
      <name val="Calibri"/>
      <family val="2"/>
      <scheme val="minor"/>
    </font>
    <font>
      <b/>
      <sz val="14"/>
      <color theme="2" tint="-0.499984740745262"/>
      <name val="Calibri"/>
      <family val="2"/>
      <scheme val="minor"/>
    </font>
    <font>
      <b/>
      <sz val="16"/>
      <color theme="2" tint="-0.499984740745262"/>
      <name val="Calibri"/>
      <family val="2"/>
      <scheme val="minor"/>
    </font>
    <font>
      <sz val="8"/>
      <name val="Calibri"/>
      <family val="2"/>
      <scheme val="minor"/>
    </font>
    <font>
      <b/>
      <sz val="11"/>
      <name val="Aptos Narrow"/>
      <family val="2"/>
    </font>
    <font>
      <sz val="11"/>
      <color rgb="FF000000"/>
      <name val="Aptos Narrow"/>
      <family val="2"/>
    </font>
    <font>
      <i/>
      <sz val="11"/>
      <color theme="2" tint="-9.9978637043366805E-2"/>
      <name val="Calibri"/>
      <family val="2"/>
      <scheme val="minor"/>
    </font>
    <font>
      <b/>
      <sz val="11"/>
      <color rgb="FF000000"/>
      <name val="Calibri"/>
      <scheme val="minor"/>
    </font>
    <font>
      <sz val="11"/>
      <color rgb="FF000000"/>
      <name val="Calibri"/>
      <scheme val="minor"/>
    </font>
    <font>
      <sz val="11"/>
      <color rgb="FF000000"/>
      <name val="Calibri"/>
      <family val="2"/>
      <scheme val="minor"/>
    </font>
    <font>
      <sz val="11"/>
      <color rgb="FF000000"/>
      <name val="Calibri"/>
      <family val="2"/>
    </font>
    <font>
      <sz val="11"/>
      <color rgb="FF000000"/>
      <name val="Aptos Narrow"/>
      <charset val="1"/>
    </font>
    <font>
      <b/>
      <sz val="11"/>
      <color theme="4"/>
      <name val="Calibri"/>
      <family val="2"/>
      <scheme val="minor"/>
    </font>
    <font>
      <b/>
      <sz val="11"/>
      <color theme="9"/>
      <name val="Calibri"/>
      <family val="2"/>
      <scheme val="minor"/>
    </font>
    <font>
      <sz val="11"/>
      <color rgb="FF000000"/>
      <name val="Calibri"/>
    </font>
    <font>
      <sz val="11"/>
      <color rgb="FF000000"/>
      <name val="Calibri"/>
      <charset val="1"/>
    </font>
    <font>
      <sz val="11"/>
      <color theme="1"/>
      <name val="-Apple-System"/>
      <charset val="1"/>
    </font>
    <font>
      <sz val="8"/>
      <color rgb="FF000000"/>
      <name val="Arial"/>
      <charset val="1"/>
    </font>
    <font>
      <sz val="11"/>
      <color rgb="FFFF0000"/>
      <name val="Aptos Narrow"/>
      <family val="2"/>
    </font>
    <font>
      <strike/>
      <sz val="11"/>
      <color rgb="FF000000"/>
      <name val="Calibri"/>
      <family val="2"/>
      <scheme val="minor"/>
    </font>
    <font>
      <strike/>
      <sz val="11"/>
      <color rgb="FF000000"/>
      <name val="Aptos Narrow"/>
      <family val="2"/>
    </font>
    <font>
      <strike/>
      <sz val="11"/>
      <color rgb="FFFF0000"/>
      <name val="Aptos Narrow"/>
      <family val="2"/>
    </font>
    <font>
      <sz val="11"/>
      <color rgb="FFBFBFBF"/>
      <name val="Calibri"/>
      <scheme val="minor"/>
    </font>
    <font>
      <sz val="11"/>
      <color theme="0" tint="-0.249977111117893"/>
      <name val="Calibri"/>
      <family val="2"/>
      <scheme val="minor"/>
    </font>
    <font>
      <strike/>
      <sz val="11"/>
      <color theme="1"/>
      <name val="Calibri"/>
      <family val="2"/>
      <scheme val="minor"/>
    </font>
    <font>
      <u/>
      <sz val="11"/>
      <color theme="10"/>
      <name val="Calibri"/>
      <family val="2"/>
      <scheme val="minor"/>
    </font>
    <font>
      <b/>
      <sz val="14"/>
      <color rgb="FF000000"/>
      <name val="Calibri"/>
      <family val="2"/>
    </font>
    <font>
      <sz val="12"/>
      <color rgb="FF000000"/>
      <name val="Calibri"/>
      <family val="2"/>
    </font>
    <font>
      <sz val="11"/>
      <color rgb="FFFFFFFF"/>
      <name val="Arial"/>
    </font>
    <font>
      <sz val="11"/>
      <color rgb="FF000000"/>
      <name val="Arial"/>
    </font>
    <font>
      <sz val="10"/>
      <color rgb="FF000000"/>
      <name val="Arial"/>
    </font>
  </fonts>
  <fills count="15">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B5E6A2"/>
        <bgColor rgb="FF000000"/>
      </patternFill>
    </fill>
    <fill>
      <patternFill patternType="solid">
        <fgColor rgb="FFFFFFFF"/>
        <bgColor rgb="FF000000"/>
      </patternFill>
    </fill>
    <fill>
      <patternFill patternType="solid">
        <fgColor rgb="FFFF0000"/>
        <bgColor indexed="64"/>
      </patternFill>
    </fill>
    <fill>
      <patternFill patternType="solid">
        <fgColor theme="5"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BDD7EE"/>
        <bgColor rgb="FF000000"/>
      </patternFill>
    </fill>
    <fill>
      <patternFill patternType="solid">
        <fgColor rgb="FF000000"/>
        <bgColor rgb="FF000000"/>
      </patternFill>
    </fill>
    <fill>
      <patternFill patternType="solid">
        <fgColor theme="4"/>
        <bgColor indexed="64"/>
      </patternFill>
    </fill>
    <fill>
      <patternFill patternType="solid">
        <fgColor theme="9" tint="0.79998168889431442"/>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indexed="64"/>
      </left>
      <right style="thin">
        <color indexed="64"/>
      </right>
      <top/>
      <bottom/>
      <diagonal/>
    </border>
  </borders>
  <cellStyleXfs count="2">
    <xf numFmtId="0" fontId="0" fillId="0" borderId="0"/>
    <xf numFmtId="0" fontId="29" fillId="0" borderId="0" applyNumberFormat="0" applyFill="0" applyBorder="0" applyAlignment="0" applyProtection="0"/>
  </cellStyleXfs>
  <cellXfs count="109">
    <xf numFmtId="0" fontId="0" fillId="0" borderId="0" xfId="0"/>
    <xf numFmtId="0" fontId="0" fillId="0" borderId="0" xfId="0" applyAlignment="1">
      <alignment horizontal="center"/>
    </xf>
    <xf numFmtId="0" fontId="0" fillId="3" borderId="0" xfId="0" applyFill="1"/>
    <xf numFmtId="0" fontId="2"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1" fillId="0" borderId="0" xfId="0" applyFont="1"/>
    <xf numFmtId="0" fontId="5" fillId="0" borderId="0" xfId="0" applyFont="1" applyAlignment="1">
      <alignment horizontal="center"/>
    </xf>
    <xf numFmtId="0" fontId="6" fillId="0" borderId="0" xfId="0" applyFont="1" applyAlignment="1">
      <alignment horizontal="center"/>
    </xf>
    <xf numFmtId="0" fontId="4" fillId="3" borderId="0" xfId="0" applyFont="1" applyFill="1" applyAlignment="1">
      <alignment horizontal="left" vertical="center"/>
    </xf>
    <xf numFmtId="0" fontId="0" fillId="0" borderId="2" xfId="0" applyBorder="1"/>
    <xf numFmtId="0" fontId="0" fillId="0" borderId="3" xfId="0" applyBorder="1" applyAlignment="1">
      <alignment wrapText="1"/>
    </xf>
    <xf numFmtId="0" fontId="1" fillId="0" borderId="1" xfId="0" applyFont="1" applyBorder="1"/>
    <xf numFmtId="0" fontId="8" fillId="4" borderId="0" xfId="0" applyFont="1" applyFill="1" applyAlignment="1">
      <alignment horizontal="center" vertical="center" wrapText="1"/>
    </xf>
    <xf numFmtId="0" fontId="9" fillId="0" borderId="0" xfId="0" applyFont="1"/>
    <xf numFmtId="0" fontId="9" fillId="0" borderId="0" xfId="0" applyFont="1" applyAlignment="1">
      <alignment wrapText="1"/>
    </xf>
    <xf numFmtId="0" fontId="9" fillId="0" borderId="0" xfId="0" applyFont="1" applyAlignment="1">
      <alignment horizontal="left" vertical="center" wrapText="1"/>
    </xf>
    <xf numFmtId="0" fontId="9" fillId="5" borderId="0" xfId="0" applyFont="1" applyFill="1"/>
    <xf numFmtId="0" fontId="0" fillId="0" borderId="0" xfId="0" applyAlignment="1">
      <alignment horizontal="left" vertical="center"/>
    </xf>
    <xf numFmtId="0" fontId="4" fillId="3" borderId="0" xfId="0" applyFont="1" applyFill="1" applyAlignment="1">
      <alignment vertical="center"/>
    </xf>
    <xf numFmtId="0" fontId="0" fillId="6" borderId="0" xfId="0" applyFill="1"/>
    <xf numFmtId="0" fontId="0" fillId="7" borderId="0" xfId="0" applyFill="1"/>
    <xf numFmtId="0" fontId="9" fillId="6" borderId="0" xfId="0" applyFont="1" applyFill="1"/>
    <xf numFmtId="0" fontId="2" fillId="8" borderId="0" xfId="0" applyFont="1" applyFill="1" applyAlignment="1">
      <alignment horizontal="center" vertical="center" wrapText="1"/>
    </xf>
    <xf numFmtId="0" fontId="0" fillId="8" borderId="0" xfId="0" applyFill="1" applyAlignment="1">
      <alignment horizontal="left" vertical="center"/>
    </xf>
    <xf numFmtId="0" fontId="3" fillId="8" borderId="0" xfId="0" applyFont="1" applyFill="1" applyAlignment="1">
      <alignment horizontal="left" vertical="center" wrapText="1"/>
    </xf>
    <xf numFmtId="0" fontId="8" fillId="8" borderId="0" xfId="0" applyFont="1" applyFill="1" applyAlignment="1">
      <alignment horizontal="center" vertical="center" wrapText="1"/>
    </xf>
    <xf numFmtId="0" fontId="0" fillId="8" borderId="0" xfId="0" applyFill="1" applyAlignment="1">
      <alignment horizontal="center" vertical="center"/>
    </xf>
    <xf numFmtId="0" fontId="2" fillId="8" borderId="0" xfId="0" applyFont="1" applyFill="1" applyAlignment="1">
      <alignment horizontal="left" vertical="center" wrapText="1"/>
    </xf>
    <xf numFmtId="0" fontId="9" fillId="8" borderId="0" xfId="0" applyFont="1" applyFill="1"/>
    <xf numFmtId="0" fontId="0" fillId="8" borderId="0" xfId="0" applyFill="1"/>
    <xf numFmtId="0" fontId="1" fillId="8" borderId="0" xfId="0" applyFont="1" applyFill="1" applyAlignment="1">
      <alignment horizontal="left" vertical="center"/>
    </xf>
    <xf numFmtId="0" fontId="1" fillId="8" borderId="0" xfId="0" applyFont="1" applyFill="1" applyAlignment="1">
      <alignment horizontal="center" vertical="center"/>
    </xf>
    <xf numFmtId="0" fontId="0" fillId="9" borderId="0" xfId="0" applyFill="1"/>
    <xf numFmtId="0" fontId="13" fillId="0" borderId="0" xfId="0" applyFont="1"/>
    <xf numFmtId="0" fontId="14" fillId="0" borderId="0" xfId="0" applyFont="1"/>
    <xf numFmtId="0" fontId="15" fillId="0" borderId="0" xfId="0" applyFont="1"/>
    <xf numFmtId="0" fontId="13" fillId="0" borderId="0" xfId="0" applyFont="1" applyAlignment="1">
      <alignment horizontal="left" vertical="center"/>
    </xf>
    <xf numFmtId="0" fontId="13" fillId="0" borderId="0" xfId="0" applyFont="1" applyAlignment="1">
      <alignment horizontal="center" vertical="center"/>
    </xf>
    <xf numFmtId="0" fontId="0" fillId="0" borderId="0" xfId="0" quotePrefix="1"/>
    <xf numFmtId="0" fontId="13" fillId="6" borderId="0" xfId="0" applyFont="1" applyFill="1"/>
    <xf numFmtId="0" fontId="1"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0" fillId="0" borderId="0" xfId="0" applyFont="1" applyAlignment="1">
      <alignment horizontal="center" vertical="center" wrapText="1"/>
    </xf>
    <xf numFmtId="0" fontId="0" fillId="0" borderId="0" xfId="0" applyAlignment="1">
      <alignment horizontal="center" vertical="center" wrapText="1"/>
    </xf>
    <xf numFmtId="0" fontId="12" fillId="0" borderId="0" xfId="0" applyFont="1"/>
    <xf numFmtId="0" fontId="19" fillId="0" borderId="0" xfId="0" applyFont="1"/>
    <xf numFmtId="0" fontId="18" fillId="0" borderId="0" xfId="0" applyFont="1"/>
    <xf numFmtId="0" fontId="0" fillId="6" borderId="0" xfId="0" applyFill="1" applyAlignment="1">
      <alignment horizontal="left" vertical="center"/>
    </xf>
    <xf numFmtId="0" fontId="20" fillId="0" borderId="0" xfId="0" applyFont="1" applyAlignment="1">
      <alignment wrapText="1"/>
    </xf>
    <xf numFmtId="0" fontId="0" fillId="10" borderId="0" xfId="0" applyFill="1"/>
    <xf numFmtId="0" fontId="21" fillId="0" borderId="0" xfId="0" applyFont="1"/>
    <xf numFmtId="0" fontId="13" fillId="10" borderId="0" xfId="0" applyFont="1" applyFill="1"/>
    <xf numFmtId="0" fontId="22" fillId="10" borderId="0" xfId="0" applyFont="1" applyFill="1"/>
    <xf numFmtId="0" fontId="23" fillId="0" borderId="0" xfId="0" applyFont="1" applyAlignment="1">
      <alignment horizontal="left" vertical="center"/>
    </xf>
    <xf numFmtId="0" fontId="23" fillId="0" borderId="0" xfId="0" applyFont="1" applyAlignment="1">
      <alignment horizontal="center" vertical="center"/>
    </xf>
    <xf numFmtId="0" fontId="24" fillId="0" borderId="0" xfId="0" applyFont="1"/>
    <xf numFmtId="0" fontId="25" fillId="0" borderId="0" xfId="0" applyFont="1"/>
    <xf numFmtId="0" fontId="0" fillId="10" borderId="0" xfId="0" applyFill="1" applyAlignment="1">
      <alignment wrapText="1"/>
    </xf>
    <xf numFmtId="0" fontId="23" fillId="6" borderId="0" xfId="0" applyFont="1" applyFill="1" applyAlignment="1">
      <alignment horizontal="left" vertical="center"/>
    </xf>
    <xf numFmtId="49" fontId="0" fillId="0" borderId="0" xfId="0" applyNumberFormat="1" applyAlignment="1">
      <alignment horizontal="left" vertical="center"/>
    </xf>
    <xf numFmtId="0" fontId="26" fillId="0" borderId="0" xfId="0" applyFont="1"/>
    <xf numFmtId="0" fontId="27" fillId="0" borderId="0" xfId="0" applyFont="1"/>
    <xf numFmtId="0" fontId="28" fillId="0" borderId="0" xfId="0" applyFont="1" applyAlignment="1">
      <alignment horizontal="left" vertical="center"/>
    </xf>
    <xf numFmtId="0" fontId="28" fillId="0" borderId="0" xfId="0" applyFont="1" applyAlignment="1">
      <alignment horizontal="center" vertical="center"/>
    </xf>
    <xf numFmtId="0" fontId="24" fillId="5" borderId="0" xfId="0" applyFont="1" applyFill="1"/>
    <xf numFmtId="0" fontId="28" fillId="0" borderId="0" xfId="0" applyFont="1"/>
    <xf numFmtId="0" fontId="29" fillId="0" borderId="0" xfId="1"/>
    <xf numFmtId="0" fontId="12" fillId="0" borderId="2" xfId="0" applyFont="1" applyBorder="1"/>
    <xf numFmtId="0" fontId="30" fillId="0" borderId="0" xfId="0" applyFont="1"/>
    <xf numFmtId="0" fontId="32" fillId="12" borderId="4" xfId="0" applyFont="1" applyFill="1" applyBorder="1"/>
    <xf numFmtId="0" fontId="32" fillId="12" borderId="5" xfId="0" applyFont="1" applyFill="1" applyBorder="1"/>
    <xf numFmtId="0" fontId="32" fillId="12" borderId="6" xfId="0" applyFont="1" applyFill="1" applyBorder="1"/>
    <xf numFmtId="0" fontId="33" fillId="0" borderId="7" xfId="0" applyFont="1" applyBorder="1"/>
    <xf numFmtId="0" fontId="33" fillId="0" borderId="8" xfId="0" applyFont="1" applyBorder="1"/>
    <xf numFmtId="0" fontId="34" fillId="0" borderId="8" xfId="0" applyFont="1" applyBorder="1"/>
    <xf numFmtId="0" fontId="34" fillId="0" borderId="9" xfId="0" applyFont="1" applyBorder="1"/>
    <xf numFmtId="0" fontId="14" fillId="0" borderId="10" xfId="0" applyFont="1" applyBorder="1"/>
    <xf numFmtId="0" fontId="14" fillId="0" borderId="11" xfId="0" applyFont="1" applyBorder="1"/>
    <xf numFmtId="0" fontId="34" fillId="0" borderId="7" xfId="0" applyFont="1" applyBorder="1"/>
    <xf numFmtId="0" fontId="9" fillId="10" borderId="0" xfId="0" applyFont="1" applyFill="1"/>
    <xf numFmtId="16" fontId="33" fillId="0" borderId="7" xfId="0" quotePrefix="1" applyNumberFormat="1" applyFont="1" applyBorder="1"/>
    <xf numFmtId="14" fontId="33" fillId="0" borderId="8" xfId="0" applyNumberFormat="1" applyFont="1" applyBorder="1"/>
    <xf numFmtId="0" fontId="29" fillId="0" borderId="9" xfId="1" quotePrefix="1" applyFill="1" applyBorder="1" applyAlignment="1"/>
    <xf numFmtId="0" fontId="0" fillId="13" borderId="0" xfId="0" applyFill="1" applyAlignment="1">
      <alignment horizontal="left" vertical="center"/>
    </xf>
    <xf numFmtId="0" fontId="0" fillId="13" borderId="0" xfId="0" applyFill="1" applyAlignment="1">
      <alignment horizontal="center" vertical="center"/>
    </xf>
    <xf numFmtId="0" fontId="9" fillId="13" borderId="0" xfId="0" applyFont="1" applyFill="1"/>
    <xf numFmtId="0" fontId="0" fillId="13" borderId="0" xfId="0" applyFill="1"/>
    <xf numFmtId="0" fontId="34" fillId="0" borderId="4" xfId="0" applyFont="1" applyBorder="1"/>
    <xf numFmtId="14" fontId="14" fillId="0" borderId="4" xfId="0" applyNumberFormat="1" applyFont="1" applyBorder="1"/>
    <xf numFmtId="0" fontId="14" fillId="0" borderId="4" xfId="0" applyFont="1" applyBorder="1"/>
    <xf numFmtId="0" fontId="34" fillId="0" borderId="12" xfId="0" applyFont="1" applyBorder="1"/>
    <xf numFmtId="14" fontId="34" fillId="0" borderId="6" xfId="0" applyNumberFormat="1" applyFont="1" applyBorder="1"/>
    <xf numFmtId="0" fontId="34" fillId="0" borderId="6" xfId="0" applyFont="1" applyBorder="1"/>
    <xf numFmtId="0" fontId="34" fillId="0" borderId="0" xfId="0" applyFont="1"/>
    <xf numFmtId="0" fontId="14" fillId="0" borderId="13" xfId="0" applyFont="1" applyBorder="1"/>
    <xf numFmtId="0" fontId="0" fillId="14" borderId="0" xfId="0" applyFill="1" applyAlignment="1">
      <alignment horizontal="left" vertical="center"/>
    </xf>
    <xf numFmtId="0" fontId="1" fillId="14" borderId="0" xfId="0" applyFont="1" applyFill="1" applyAlignment="1">
      <alignment horizontal="left" vertical="center"/>
    </xf>
    <xf numFmtId="0" fontId="0" fillId="14" borderId="0" xfId="0" applyFill="1" applyAlignment="1">
      <alignment horizontal="center" vertical="center"/>
    </xf>
    <xf numFmtId="0" fontId="9" fillId="14" borderId="0" xfId="0" applyFont="1" applyFill="1"/>
    <xf numFmtId="0" fontId="0" fillId="14" borderId="0" xfId="0" applyFill="1"/>
    <xf numFmtId="0" fontId="29" fillId="14" borderId="0" xfId="1" applyFill="1" applyAlignment="1">
      <alignment horizontal="left" vertical="center"/>
    </xf>
    <xf numFmtId="49" fontId="0" fillId="14" borderId="0" xfId="0" applyNumberFormat="1" applyFill="1" applyAlignment="1">
      <alignment horizontal="left" vertical="center"/>
    </xf>
    <xf numFmtId="0" fontId="29" fillId="0" borderId="4" xfId="1" applyBorder="1"/>
    <xf numFmtId="49" fontId="14" fillId="0" borderId="4" xfId="0" applyNumberFormat="1" applyFont="1" applyBorder="1"/>
    <xf numFmtId="0" fontId="4" fillId="3" borderId="0" xfId="0" applyFont="1" applyFill="1" applyAlignment="1">
      <alignment horizontal="left" vertical="center"/>
    </xf>
    <xf numFmtId="0" fontId="1" fillId="0" borderId="0" xfId="0" applyFont="1" applyAlignment="1">
      <alignment horizontal="center" vertical="center"/>
    </xf>
    <xf numFmtId="0" fontId="31" fillId="11" borderId="0" xfId="0" applyFont="1" applyFill="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Fassl Ronald (Externer)" id="{BCD665F1-F8E2-43D1-9F50-F9D18489AD13}" userId="S::Ronald.Fassl@externer.at::7abca880-b032-4a27-bbf8-bee2ba20500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3" dT="2024-08-28T20:24:42.53" personId="{BCD665F1-F8E2-43D1-9F50-F9D18489AD13}" id="{6619FA35-AF18-4054-882A-7DEEEBE97359}">
    <text>AD	Andorra
AE	Ver.Arab.Emir.
AF	Afghanistan
AG	Antigua/Barbuda
AI	Anguilla
AL	Albanien
AM	Armenien
AO	Angola
AQ	Antarktis
AR	Argentinien
AS	Samoa, Amerikan
AT	Österreich
AU	Australien
AW	Aruba
AX	Alandinseln
AZ	Aserbaidschan
BA	Bosnien-Herz.
BB	Barbados
BD	Bangladesch
BE	Belgien
BF	Burkina-Faso
BG	Bulgarien
BH	Bahrain
BI	Burundi
BJ	Benin
BL	St. Barthélemy
BM	Bermuda
BN	Brunei Drussal.
BO	Bolivien
BQ	Bonaire, Saba
BR	Brasilien
BS	Bahamas
BT	Bhutan
BV	Bouvetinsel
BW	Botsuana
BY	Belarus
BZ	Belize
CA	Kanada
CC	Kokosinseln
CD	Republik Kongo
CF	Zentralaf. Rep.
CG	Kongo
CH	Schweiz
CI	Côte d'Ivoire
CK	Cookinseln
CL	Chile
CM	Kamerun
CN	China
CO	Kolumbien
CR	Costa Rica
CU	Kuba
CV	Cabo Verde
CW	Curaçao
CX	Weihnachtsinsel
CY	Zypern
CZ	Tschechien
DE	Deutschland
DJ	Dschibuti
DK	Dänemark
DM	Dominica
DO	Dominik. Rep.
DZ	Algerien
EC	Ecuador
EE	Estland
EG	Ägypten
EH	Westsahara
ER	Eritrea
ES	Spanien
ET	Äthiopien
FI	Finnland
FJ	Fidschi
FK	Falklandinseln
FM	Mikronesien
FO	Färöer
FR	Frankreich
GA	Gabun
GB	Verein. Königr.
GD	Grenada
GE	Georgien
GF	Französ.Guayana
GG	Guernsey
GH	Ghana
GI	Gibraltar
GL	Grönland
GM	Gambia
GN	Guinea
GP	Guadeloupe
GQ	Äquatorialguine
GR	Griechenland
GS	S. Sandwich Ins
GT	Guatemala
GU	Guam
GW	Guinea-Bissau
GY	Guyana
HK	Hongkong
HM	Heard/McDon.Ins
HN	Honduras
HR	Kroatien
HT	Haiti
HU	Ungarn
ID	Indonesien
IE	Irland
IL	Israel
IM	Insel Man
IN	Indien
IO	Brit.Geb.Ind.Oz
IQ	Irak
IR	Iran
IS	Island
IT	Italien
JE	Jersey
JM	Jamaika
JO	Jordanien
JP	Japan
KE	Kenia
KG	Kirgisistan
KH	Kambodscha
KI	Kiribati
KM	Komoren
KN	St.Kitts&amp;Nevis
KP	Nordkorea
KR	Südkorea
KW	Kuwait
KY	Kaimaninseln
KZ	Kasachstan
LA	Laos
LB	Libanon
LC	St. Lucia
LI	Liechtenstein
LK	Sri Lanka
LR	Liberia
LS	Lesotho
LT	Litauen
LU	Luxemburg
LV	Lettland
LY	Libyen
MA	Marokko
MC	Monaco
MD	Moldau
ME	Montenegro
MF	St. Martin
MG	Madagaskar
MH	Marshallinseln
MK	Nordmazedonien
ML	Mali
MM	Myanmar
MN	Mongolei
MO	Macau
MP	Nördl. Marianen
MQ	Martinique
MR	Mauretanien
MS	Montserrat
MT	Malta
MU	Mauritius
MV	Malediven
MW	Malawi
MX	Mexiko
MY	Malaysia
MZ	Mosambik
NA	Namibia
NC	Neukaledonien
NE	Niger
NF	Norfolkinsel
NG	Nigeria
NI	Nicaragua
NL	Niederlande
NO	Norwegen
NP	Nepal
NR	Nauru
NU	Niue
NZ	Neuseeland
OM	Oman
PA	Panama
PE	Peru
PF	FranzPolynesien
PG	Papua-Neuguinea
PH	Philippinen
PK	Pakistan
PL	Polen
PM	StPier.,Miquel.
PN	Pitcairninseln
PR	Puerto Rico
PS	Palästina
PT	Portugal
PW	Palau
PY	Paraguay
QA	Katar
RE	Reunion
RO	Rumänien
RS	Serbien
RU	Russische Foed.
RW	Ruanda
SA	Saudi-Arabien
SB	Salomonen
SC	Seychellen
SD	Sudan
SE	Schweden
SG	Singapur
SH	St. Helena
SI	Slowenien
SJ	Spitzbergen
SK	Slowakei
SL	Sierra Leone
SM	San Marino
SN	Senegal
SO	Somalia
SR	Suriname
SS	Südsudan
ST	S.Tome,Principe
SV	El Salvador
SX	Sint Maarten
SY	Syrien
SZ	Eswatini
TC	Turks-,Caicosin
TD	Tschad
TF	French S.Territ
TG	Togo
TH	Thailand
TJ	Tadschikistan
TK	Tokelau
TL	Timor-Leste
TM	Turkmenistan
TN	Tunesien
TO	Tonga
TR	Türkei
TT	Trinidad,Tobago
TV	Tuvalu
TW	Taiwan
TZ	Tansania
UA	Ukraine
UG	Uganda
UM	Minor Outl.Ins.
US	USA
UY	Uruguay
UZ	Usbekistan
VA	Vatikanstadt
VC	St. Vincent
VE	Venezuela
VG	Brit.Jungferni.
VI	Amer.Jungferni.
VN	Vietnam
VU	Vanuatu
WF	Wallis,Futuna
WS	Samoa
YE	Jemen
YT	Mayotte
ZA	Südafrika
ZM	Sambia
ZW	Simbabwe</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jira.apps.evn.at/browse/SFP-1719" TargetMode="External"/><Relationship Id="rId1" Type="http://schemas.openxmlformats.org/officeDocument/2006/relationships/hyperlink" Target="https://dev.azure.com/evngrp/crmES/_workitems/edit/774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pim-dev.evn.at/crmesint/essapisu/v1/business-customers" TargetMode="External"/><Relationship Id="rId2" Type="http://schemas.openxmlformats.org/officeDocument/2006/relationships/hyperlink" Target="https://apim-test.evn.at/crmesint/essapisu/v1/business-customers" TargetMode="External"/><Relationship Id="rId1" Type="http://schemas.openxmlformats.org/officeDocument/2006/relationships/hyperlink" Target="https://apim-test.evn.at/crmesint/essapisu/v1/business-customers"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max@mustermann.at"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18179-D676-4F0D-89F8-1A737A17214B}">
  <sheetPr>
    <tabColor rgb="FF0070C0"/>
  </sheetPr>
  <dimension ref="A1:I13"/>
  <sheetViews>
    <sheetView showGridLines="0" workbookViewId="0">
      <selection activeCell="D13" sqref="D13"/>
    </sheetView>
  </sheetViews>
  <sheetFormatPr defaultRowHeight="15"/>
  <cols>
    <col min="1" max="1" width="55.7109375" bestFit="1" customWidth="1"/>
    <col min="2" max="2" width="11.85546875" bestFit="1" customWidth="1"/>
    <col min="3" max="3" width="59.5703125" bestFit="1" customWidth="1"/>
    <col min="4" max="4" width="39.42578125" bestFit="1" customWidth="1"/>
    <col min="5" max="5" width="29.5703125" bestFit="1" customWidth="1"/>
  </cols>
  <sheetData>
    <row r="1" spans="1:9" ht="18.75">
      <c r="A1" s="70" t="s">
        <v>0</v>
      </c>
      <c r="B1" s="70"/>
      <c r="C1" s="70"/>
      <c r="D1" s="35"/>
      <c r="E1" s="35"/>
      <c r="F1" s="35"/>
      <c r="G1" s="35"/>
      <c r="H1" s="35"/>
      <c r="I1" s="35"/>
    </row>
    <row r="2" spans="1:9" ht="15.75">
      <c r="A2" s="108" t="s">
        <v>1</v>
      </c>
      <c r="B2" s="108"/>
      <c r="C2" s="108"/>
      <c r="D2" s="108"/>
      <c r="E2" s="108"/>
      <c r="F2" s="108"/>
      <c r="G2" s="108"/>
      <c r="H2" s="108"/>
      <c r="I2" s="108"/>
    </row>
    <row r="3" spans="1:9">
      <c r="A3" s="35"/>
      <c r="B3" s="35"/>
      <c r="C3" s="35"/>
      <c r="D3" s="35"/>
      <c r="E3" s="35"/>
      <c r="F3" s="35"/>
      <c r="G3" s="35"/>
      <c r="H3" s="35"/>
      <c r="I3" s="35"/>
    </row>
    <row r="4" spans="1:9">
      <c r="A4" s="71" t="s">
        <v>2</v>
      </c>
      <c r="B4" s="72" t="s">
        <v>3</v>
      </c>
      <c r="C4" s="72" t="s">
        <v>4</v>
      </c>
      <c r="D4" s="72" t="s">
        <v>5</v>
      </c>
      <c r="E4" s="73" t="s">
        <v>6</v>
      </c>
      <c r="F4" s="35"/>
      <c r="G4" s="35"/>
      <c r="H4" s="35"/>
      <c r="I4" s="35"/>
    </row>
    <row r="5" spans="1:9">
      <c r="A5" s="74" t="s">
        <v>7</v>
      </c>
      <c r="B5" s="75" t="s">
        <v>8</v>
      </c>
      <c r="C5" s="76" t="s">
        <v>9</v>
      </c>
      <c r="D5" s="77" t="s">
        <v>10</v>
      </c>
      <c r="E5" s="78"/>
      <c r="F5" s="35"/>
      <c r="G5" s="35"/>
      <c r="H5" s="35"/>
      <c r="I5" s="35"/>
    </row>
    <row r="6" spans="1:9">
      <c r="A6" s="82" t="s">
        <v>11</v>
      </c>
      <c r="B6" s="83">
        <v>45695</v>
      </c>
      <c r="C6" s="76" t="s">
        <v>12</v>
      </c>
      <c r="D6" s="84" t="s">
        <v>13</v>
      </c>
      <c r="E6" s="79"/>
      <c r="F6" s="35"/>
      <c r="G6" s="35"/>
      <c r="H6" s="35"/>
      <c r="I6" s="35"/>
    </row>
    <row r="7" spans="1:9">
      <c r="A7" s="80" t="s">
        <v>14</v>
      </c>
      <c r="B7" s="83">
        <v>45698</v>
      </c>
      <c r="C7" s="76" t="s">
        <v>10</v>
      </c>
      <c r="D7" s="77" t="s">
        <v>10</v>
      </c>
      <c r="E7" s="79" t="s">
        <v>15</v>
      </c>
      <c r="F7" s="35"/>
      <c r="G7" s="35"/>
      <c r="H7" s="35"/>
      <c r="I7" s="35"/>
    </row>
    <row r="8" spans="1:9">
      <c r="A8" s="92" t="s">
        <v>16</v>
      </c>
      <c r="B8" s="93">
        <v>45705</v>
      </c>
      <c r="C8" s="94" t="s">
        <v>17</v>
      </c>
      <c r="D8" s="95" t="s">
        <v>10</v>
      </c>
      <c r="E8" s="96" t="s">
        <v>15</v>
      </c>
      <c r="F8" s="35"/>
      <c r="G8" s="35"/>
      <c r="H8" s="35"/>
      <c r="I8" s="35"/>
    </row>
    <row r="9" spans="1:9">
      <c r="A9" s="89" t="s">
        <v>18</v>
      </c>
      <c r="B9" s="90">
        <v>45763</v>
      </c>
      <c r="C9" s="91" t="s">
        <v>19</v>
      </c>
      <c r="D9" s="91"/>
      <c r="E9" s="91" t="s">
        <v>15</v>
      </c>
      <c r="F9" s="35"/>
      <c r="G9" s="35"/>
      <c r="H9" s="35"/>
      <c r="I9" s="35"/>
    </row>
    <row r="10" spans="1:9">
      <c r="A10" s="91"/>
      <c r="B10" s="90">
        <v>45889</v>
      </c>
      <c r="C10" s="91" t="s">
        <v>20</v>
      </c>
      <c r="D10" s="104" t="s">
        <v>21</v>
      </c>
      <c r="E10" s="91" t="s">
        <v>22</v>
      </c>
      <c r="F10" s="35"/>
      <c r="G10" s="35"/>
      <c r="H10" s="35"/>
      <c r="I10" s="35"/>
    </row>
    <row r="11" spans="1:9">
      <c r="A11" s="105" t="s">
        <v>23</v>
      </c>
      <c r="B11" s="90">
        <v>45897</v>
      </c>
      <c r="C11" s="91" t="s">
        <v>24</v>
      </c>
      <c r="D11" s="91"/>
      <c r="E11" s="91" t="s">
        <v>15</v>
      </c>
      <c r="F11" s="35"/>
      <c r="G11" s="35"/>
      <c r="H11" s="35"/>
      <c r="I11" s="35"/>
    </row>
    <row r="12" spans="1:9">
      <c r="A12" s="105" t="s">
        <v>25</v>
      </c>
      <c r="B12" s="90">
        <v>45986</v>
      </c>
      <c r="C12" s="91" t="s">
        <v>26</v>
      </c>
      <c r="D12" s="91"/>
      <c r="E12" s="91" t="s">
        <v>15</v>
      </c>
      <c r="F12" s="35"/>
      <c r="G12" s="35"/>
      <c r="H12" s="35"/>
      <c r="I12" s="35"/>
    </row>
    <row r="13" spans="1:9">
      <c r="A13" s="105" t="s">
        <v>27</v>
      </c>
      <c r="B13" s="90">
        <v>46043</v>
      </c>
      <c r="C13" s="91" t="s">
        <v>28</v>
      </c>
      <c r="D13" s="104" t="s">
        <v>29</v>
      </c>
      <c r="E13" s="91" t="s">
        <v>15</v>
      </c>
    </row>
  </sheetData>
  <mergeCells count="1">
    <mergeCell ref="A2:I2"/>
  </mergeCells>
  <hyperlinks>
    <hyperlink ref="D10" r:id="rId1" xr:uid="{823A1F97-D947-4C80-B3EA-8B5011BA1AC2}"/>
    <hyperlink ref="D13" r:id="rId2" xr:uid="{CE589656-9D86-4EF0-A1E7-A02159453E5E}"/>
  </hyperlinks>
  <pageMargins left="0.7" right="0.7" top="0.75" bottom="0.75" header="0.3" footer="0.3"/>
  <headerFooter>
    <oddFooter>&amp;L_x000D_&amp;1#&amp;"Aptos"&amp;10&amp;K000000 TLP:AMBER - vertraulich</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DAC18-34CA-40BA-8E44-D5841CE903F5}">
  <dimension ref="A3:B21"/>
  <sheetViews>
    <sheetView workbookViewId="0">
      <selection activeCell="B14" sqref="B14"/>
    </sheetView>
  </sheetViews>
  <sheetFormatPr defaultColWidth="8.85546875" defaultRowHeight="15"/>
  <cols>
    <col min="2" max="2" width="127" customWidth="1"/>
  </cols>
  <sheetData>
    <row r="3" spans="2:2">
      <c r="B3" t="s">
        <v>30</v>
      </c>
    </row>
    <row r="4" spans="2:2">
      <c r="B4" t="s">
        <v>31</v>
      </c>
    </row>
    <row r="5" spans="2:2">
      <c r="B5" t="s">
        <v>32</v>
      </c>
    </row>
    <row r="6" spans="2:2">
      <c r="B6" t="s">
        <v>33</v>
      </c>
    </row>
    <row r="8" spans="2:2" ht="15.75" thickBot="1"/>
    <row r="9" spans="2:2">
      <c r="B9" s="12" t="s">
        <v>34</v>
      </c>
    </row>
    <row r="10" spans="2:2">
      <c r="B10" s="69" t="s">
        <v>35</v>
      </c>
    </row>
    <row r="11" spans="2:2">
      <c r="B11" s="10"/>
    </row>
    <row r="12" spans="2:2">
      <c r="B12" s="10" t="s">
        <v>36</v>
      </c>
    </row>
    <row r="13" spans="2:2">
      <c r="B13" s="10" t="s">
        <v>37</v>
      </c>
    </row>
    <row r="14" spans="2:2">
      <c r="B14" s="10"/>
    </row>
    <row r="15" spans="2:2" ht="69" thickBot="1">
      <c r="B15" s="11" t="s">
        <v>38</v>
      </c>
    </row>
    <row r="17" spans="1:2">
      <c r="B17" t="s">
        <v>39</v>
      </c>
    </row>
    <row r="18" spans="1:2">
      <c r="A18" t="s">
        <v>40</v>
      </c>
    </row>
    <row r="19" spans="1:2">
      <c r="A19" t="s">
        <v>41</v>
      </c>
      <c r="B19" s="68" t="s">
        <v>42</v>
      </c>
    </row>
    <row r="20" spans="1:2">
      <c r="A20" t="s">
        <v>43</v>
      </c>
      <c r="B20" s="68" t="s">
        <v>44</v>
      </c>
    </row>
    <row r="21" spans="1:2">
      <c r="A21" t="s">
        <v>45</v>
      </c>
      <c r="B21" s="68" t="s">
        <v>42</v>
      </c>
    </row>
  </sheetData>
  <hyperlinks>
    <hyperlink ref="B19" r:id="rId1" xr:uid="{F685875D-264D-4251-8213-3D7FB15BC25C}"/>
    <hyperlink ref="B21" r:id="rId2" xr:uid="{184079C9-8814-48A8-A1B0-E2BB7AC3322D}"/>
    <hyperlink ref="B20" r:id="rId3" xr:uid="{11BC4A31-FAB5-44BB-8AA1-A5479036E966}"/>
  </hyperlinks>
  <pageMargins left="0.7" right="0.7" top="0.75" bottom="0.75" header="0.3" footer="0.3"/>
  <headerFooter>
    <oddFooter>&amp;L_x000D_&amp;1#&amp;"Aptos"&amp;10&amp;K000000 TLP:AMBER - vertraulich</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6B4B0-B96F-4959-BB3A-E8CF1A03A647}">
  <dimension ref="B1:C9"/>
  <sheetViews>
    <sheetView showGridLines="0" zoomScale="85" zoomScaleNormal="85" workbookViewId="0">
      <selection activeCell="C12" sqref="C12"/>
    </sheetView>
  </sheetViews>
  <sheetFormatPr defaultColWidth="8.85546875" defaultRowHeight="15"/>
  <cols>
    <col min="1" max="1" width="6.5703125" customWidth="1"/>
    <col min="2" max="2" width="4.85546875" customWidth="1"/>
    <col min="3" max="3" width="151.42578125" customWidth="1"/>
  </cols>
  <sheetData>
    <row r="1" spans="2:3" ht="21">
      <c r="C1" s="8" t="s">
        <v>46</v>
      </c>
    </row>
    <row r="3" spans="2:3" ht="18.75">
      <c r="B3" s="7" t="s">
        <v>47</v>
      </c>
      <c r="C3" t="s">
        <v>48</v>
      </c>
    </row>
    <row r="4" spans="2:3" ht="18.75">
      <c r="B4" s="7" t="s">
        <v>47</v>
      </c>
      <c r="C4" s="34" t="s">
        <v>49</v>
      </c>
    </row>
    <row r="5" spans="2:3" ht="18.75">
      <c r="B5" s="7" t="s">
        <v>47</v>
      </c>
      <c r="C5" s="34" t="s">
        <v>50</v>
      </c>
    </row>
    <row r="6" spans="2:3" ht="18.75">
      <c r="B6" s="7" t="s">
        <v>47</v>
      </c>
      <c r="C6" s="46" t="s">
        <v>51</v>
      </c>
    </row>
    <row r="7" spans="2:3" ht="18.75">
      <c r="B7" s="7" t="s">
        <v>47</v>
      </c>
      <c r="C7" t="s">
        <v>52</v>
      </c>
    </row>
    <row r="8" spans="2:3" ht="18.75">
      <c r="B8" s="7" t="s">
        <v>47</v>
      </c>
      <c r="C8" t="s">
        <v>53</v>
      </c>
    </row>
    <row r="9" spans="2:3" ht="28.5">
      <c r="B9" s="7" t="s">
        <v>47</v>
      </c>
      <c r="C9" s="5" t="s">
        <v>54</v>
      </c>
    </row>
  </sheetData>
  <pageMargins left="0.7" right="0.7" top="0.75" bottom="0.75" header="0.3" footer="0.3"/>
  <headerFooter>
    <oddFooter>&amp;L_x000D_&amp;1#&amp;"Aptos"&amp;10&amp;K000000 TLP:AMBER - vertraulich</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0506-52A2-4B73-BFD6-06CFDA61690E}">
  <dimension ref="A1:P72"/>
  <sheetViews>
    <sheetView tabSelected="1" topLeftCell="C1" zoomScale="85" zoomScaleNormal="85" workbookViewId="0">
      <pane ySplit="2" topLeftCell="E32" activePane="bottomLeft" state="frozen"/>
      <selection pane="bottomLeft" activeCell="A45" sqref="A45:XFD45"/>
      <selection activeCell="C1" sqref="C1"/>
    </sheetView>
  </sheetViews>
  <sheetFormatPr defaultColWidth="8.85546875" defaultRowHeight="15"/>
  <cols>
    <col min="1" max="1" width="5" style="1" customWidth="1"/>
    <col min="2" max="2" width="22.7109375" style="4" customWidth="1"/>
    <col min="3" max="3" width="11" style="4" customWidth="1"/>
    <col min="4" max="4" width="35.140625" style="4" bestFit="1" customWidth="1"/>
    <col min="5" max="5" width="55.28515625" style="4" customWidth="1"/>
    <col min="6" max="6" width="6.28515625" style="4" customWidth="1"/>
    <col min="7" max="7" width="53.42578125" style="4" bestFit="1" customWidth="1"/>
    <col min="8" max="8" width="55.5703125" style="4" customWidth="1"/>
    <col min="9" max="9" width="26.5703125" style="4" customWidth="1"/>
    <col min="10" max="10" width="13.42578125" style="4" customWidth="1"/>
    <col min="11" max="11" width="3.28515625" style="4" bestFit="1" customWidth="1"/>
    <col min="12" max="12" width="18.85546875" style="4" bestFit="1" customWidth="1"/>
    <col min="13" max="13" width="17.5703125" customWidth="1"/>
    <col min="14" max="14" width="41.140625" customWidth="1"/>
    <col min="15" max="15" width="48.28515625" customWidth="1"/>
    <col min="16" max="16" width="86.42578125" customWidth="1"/>
  </cols>
  <sheetData>
    <row r="1" spans="1:16" ht="34.35" customHeight="1">
      <c r="A1" s="106" t="s">
        <v>55</v>
      </c>
      <c r="B1" s="106"/>
      <c r="C1" s="106"/>
      <c r="D1" s="106"/>
      <c r="E1" s="106"/>
      <c r="F1" s="106"/>
      <c r="G1" s="106"/>
      <c r="H1" s="19"/>
      <c r="I1" s="19"/>
      <c r="J1" s="19" t="s">
        <v>56</v>
      </c>
      <c r="K1" s="19"/>
      <c r="L1" s="19"/>
      <c r="M1" s="9"/>
      <c r="N1" s="2"/>
      <c r="O1" s="2"/>
      <c r="P1" s="2"/>
    </row>
    <row r="2" spans="1:16" s="4" customFormat="1" ht="30.75" customHeight="1">
      <c r="A2" s="3" t="s">
        <v>57</v>
      </c>
      <c r="B2" s="3" t="s">
        <v>58</v>
      </c>
      <c r="C2" s="3" t="s">
        <v>59</v>
      </c>
      <c r="D2" s="3" t="s">
        <v>60</v>
      </c>
      <c r="E2" s="3" t="s">
        <v>61</v>
      </c>
      <c r="F2" s="3" t="s">
        <v>62</v>
      </c>
      <c r="G2" s="3" t="s">
        <v>4</v>
      </c>
      <c r="H2" s="3" t="s">
        <v>63</v>
      </c>
      <c r="I2" s="13" t="s">
        <v>64</v>
      </c>
      <c r="J2" s="13" t="s">
        <v>65</v>
      </c>
      <c r="K2" s="3" t="s">
        <v>66</v>
      </c>
      <c r="L2" s="3" t="s">
        <v>67</v>
      </c>
      <c r="M2" s="3" t="s">
        <v>68</v>
      </c>
      <c r="N2" s="3" t="s">
        <v>69</v>
      </c>
      <c r="O2" s="3" t="s">
        <v>70</v>
      </c>
      <c r="P2" s="3" t="s">
        <v>71</v>
      </c>
    </row>
    <row r="3" spans="1:16" s="27" customFormat="1">
      <c r="A3" s="44">
        <v>1</v>
      </c>
      <c r="B3" s="23"/>
      <c r="C3" s="24" t="str">
        <f>IF(B3="person","p_",(IF(B3="organisation","o_",(IF(B3="person/organisation","po_","")))))</f>
        <v/>
      </c>
      <c r="D3" s="24"/>
      <c r="E3" s="24" t="str">
        <f>IF(ISBLANK(F3),G3,IF(ISBLANK(M3),_xlfn.CONCAT($J$1,C3,G3,$J$1,": ",,$J$1,D3,$J$1,IF(LEFT(E4,1)="}","",",")),_xlfn.CONCAT($J$1,C3,G3,$J$1,": ",,,D3,,IF(LEFT(E4,1)="}","",","))))</f>
        <v>{</v>
      </c>
      <c r="F3" s="23"/>
      <c r="G3" s="25" t="s">
        <v>72</v>
      </c>
      <c r="H3" s="23"/>
      <c r="I3" s="26"/>
      <c r="J3" s="26"/>
      <c r="K3" s="23"/>
      <c r="L3" s="23"/>
      <c r="M3" s="23"/>
      <c r="N3" s="23"/>
      <c r="O3" s="23"/>
      <c r="P3" s="23"/>
    </row>
    <row r="4" spans="1:16" s="27" customFormat="1">
      <c r="A4" s="44">
        <v>2</v>
      </c>
      <c r="B4" s="28"/>
      <c r="C4" s="24" t="str">
        <f>IF(B4="person","p_",(IF(B4="organisation","o_",(IF(B4="person/organisation","po_","")))))</f>
        <v/>
      </c>
      <c r="D4" s="24"/>
      <c r="E4" s="24" t="str">
        <f>IF(ISBLANK(F4),G4,IF(ISBLANK(M4),_xlfn.CONCAT($J$1,C4,G4,$J$1,": ",,$J$1,D4,$J$1,IF(LEFT(E5,1)="}","",",")),_xlfn.CONCAT($J$1,C4,G4,$J$1,": ",,,D4,,IF(LEFT(E5,1)="}","",","))))</f>
        <v>"Meta": {</v>
      </c>
      <c r="F4" s="23"/>
      <c r="G4" s="28" t="s">
        <v>73</v>
      </c>
      <c r="H4" s="23"/>
      <c r="I4" s="26"/>
      <c r="J4" s="26"/>
      <c r="K4" s="23"/>
      <c r="L4" s="23"/>
      <c r="M4" s="23"/>
      <c r="N4" s="23"/>
      <c r="O4" s="23"/>
      <c r="P4" s="23"/>
    </row>
    <row r="5" spans="1:16">
      <c r="A5" s="44">
        <v>3</v>
      </c>
      <c r="B5" s="18" t="s">
        <v>74</v>
      </c>
      <c r="C5" s="18" t="str">
        <f>IF(B5="person","p_",(IF(B5="organisation","o_",(IF(B5="person/organisation","po_","")))))</f>
        <v>po_</v>
      </c>
      <c r="D5" s="18" t="s">
        <v>75</v>
      </c>
      <c r="E5" s="18" t="str">
        <f>IF(ISBLANK(F5),G5,IF(ISBLANK(M5),_xlfn.CONCAT($J$1,C5,G5,$J$1,": ",,$J$1,D5,$J$1,IF(LEFT(E6,1)="}","",",")),_xlfn.CONCAT($J$1,C5,G5,$J$1,": ",,,D5,,IF(LEFT(E6,1)="}","",","))))</f>
        <v>"po_CRM_GUID": "1d471f69-969d-ee11-be37-6045bda1c84f",</v>
      </c>
      <c r="F5" s="4" t="s">
        <v>76</v>
      </c>
      <c r="G5" s="17" t="s">
        <v>77</v>
      </c>
      <c r="H5" s="14" t="s">
        <v>78</v>
      </c>
      <c r="I5" s="14"/>
      <c r="J5" s="14" t="s">
        <v>79</v>
      </c>
      <c r="K5" s="14">
        <v>36</v>
      </c>
      <c r="N5" t="s">
        <v>80</v>
      </c>
      <c r="O5" t="s">
        <v>81</v>
      </c>
    </row>
    <row r="6" spans="1:16">
      <c r="A6" s="44">
        <v>4</v>
      </c>
      <c r="B6" s="18" t="s">
        <v>74</v>
      </c>
      <c r="C6" s="18" t="str">
        <f>IF(B6="person","p_",(IF(B6="organisation","o_",(IF(B6="person/organisation","po_","")))))</f>
        <v>po_</v>
      </c>
      <c r="D6" s="18">
        <v>1</v>
      </c>
      <c r="E6" s="18" t="str">
        <f>IF(ISBLANK(F6),G6,IF(ISBLANK(M6),_xlfn.CONCAT($J$1,C6,G6,$J$1,": ",,$J$1,D6,$J$1,IF(LEFT(E8,1)="}","",",")),_xlfn.CONCAT($J$1,C6,G6,$J$1,": ",,,D6,,IF(LEFT(E8,1)="}","",","))))</f>
        <v>"po_Geschaeftspartnertyp": "1",</v>
      </c>
      <c r="F6" s="41" t="s">
        <v>82</v>
      </c>
      <c r="G6" s="14" t="s">
        <v>83</v>
      </c>
      <c r="H6" s="14" t="s">
        <v>84</v>
      </c>
      <c r="I6" s="14" t="s">
        <v>85</v>
      </c>
      <c r="J6" s="14" t="s">
        <v>79</v>
      </c>
      <c r="K6" s="14">
        <v>1</v>
      </c>
      <c r="L6" s="4" t="s">
        <v>86</v>
      </c>
      <c r="N6" s="14" t="s">
        <v>87</v>
      </c>
      <c r="O6" t="s">
        <v>88</v>
      </c>
      <c r="P6" s="21" t="s">
        <v>89</v>
      </c>
    </row>
    <row r="7" spans="1:16" ht="30.75">
      <c r="A7" s="44">
        <v>5</v>
      </c>
      <c r="B7" s="18" t="s">
        <v>74</v>
      </c>
      <c r="C7" s="18" t="str">
        <f>IF(B7="person","p_",(IF(B7="organisation","o_",(IF(B7="person/organisation","po_","")))))</f>
        <v>po_</v>
      </c>
      <c r="D7" s="18" t="s">
        <v>90</v>
      </c>
      <c r="E7" s="18" t="str">
        <f>IF(ISBLANK(F7),G7,IF(ISBLANK(M7),_xlfn.CONCAT($J$1,C7,G7,$J$1,": ",,$J$1,D7,$J$1,IF(LEFT(E9,1)="}","",",")),_xlfn.CONCAT($J$1,C7,G7,$J$1,": ",,,D7,,IF(LEFT(E9,1)="}","",","))))</f>
        <v>"po_NatuerlichePerson": true,</v>
      </c>
      <c r="F7" s="4" t="s">
        <v>76</v>
      </c>
      <c r="G7" s="35" t="s">
        <v>91</v>
      </c>
      <c r="H7" s="22" t="s">
        <v>92</v>
      </c>
      <c r="I7" s="22" t="s">
        <v>93</v>
      </c>
      <c r="J7" s="22" t="s">
        <v>79</v>
      </c>
      <c r="K7" s="22">
        <v>1</v>
      </c>
      <c r="L7" s="45" t="s">
        <v>94</v>
      </c>
      <c r="M7" t="s">
        <v>95</v>
      </c>
      <c r="N7" s="22" t="s">
        <v>96</v>
      </c>
      <c r="O7" s="20" t="s">
        <v>97</v>
      </c>
      <c r="P7" s="20"/>
    </row>
    <row r="8" spans="1:16">
      <c r="A8" s="44">
        <v>6</v>
      </c>
      <c r="B8" s="18" t="s">
        <v>74</v>
      </c>
      <c r="C8" s="18" t="str">
        <f>IF(B8="person","p_",(IF(B8="organisation","o_",(IF(B8="person/organisation","po_","")))))</f>
        <v>po_</v>
      </c>
      <c r="D8" s="18" t="s">
        <v>98</v>
      </c>
      <c r="E8" s="18" t="str">
        <f>IF(ISBLANK(F8),G8,IF(ISBLANK(M8),_xlfn.CONCAT($J$1,C8,G8,$J$1,": ",,$J$1,D8,$J$1,IF(LEFT(E9,1)="}","",",")),_xlfn.CONCAT($J$1,C8,G8,$J$1,": ",,,D8,,IF(LEFT(E9,1)="}","",","))))</f>
        <v>"po_Geschaeftspartnerart": "HH",</v>
      </c>
      <c r="F8" s="41" t="s">
        <v>82</v>
      </c>
      <c r="G8" s="14" t="s">
        <v>99</v>
      </c>
      <c r="H8" s="14" t="s">
        <v>100</v>
      </c>
      <c r="I8" s="14" t="s">
        <v>101</v>
      </c>
      <c r="J8" s="14" t="s">
        <v>79</v>
      </c>
      <c r="K8" s="14">
        <v>4</v>
      </c>
      <c r="L8" s="4" t="s">
        <v>86</v>
      </c>
      <c r="N8" s="14" t="s">
        <v>87</v>
      </c>
      <c r="O8" t="s">
        <v>102</v>
      </c>
      <c r="P8" s="21" t="s">
        <v>89</v>
      </c>
    </row>
    <row r="9" spans="1:16">
      <c r="A9" s="44">
        <v>7</v>
      </c>
      <c r="B9" s="18" t="s">
        <v>74</v>
      </c>
      <c r="C9" s="18" t="str">
        <f>IF(B9="person","p_",(IF(B9="organisation","o_",(IF(B9="person/organisation","po_","")))))</f>
        <v>po_</v>
      </c>
      <c r="D9" s="18" t="s">
        <v>103</v>
      </c>
      <c r="E9" s="18" t="str">
        <f>IF(ISBLANK(F9),G9,IF(ISBLANK(M9),_xlfn.CONCAT($J$1,C9,G9,$J$1,": ",,$J$1,D9,$J$1,IF(LEFT(E10,1)="}","",",")),_xlfn.CONCAT($J$1,C9,G9,$J$1,": ",,,D9,,IF(LEFT(E10,1)="}","",","))))</f>
        <v>"po_Berechtigungsgruppe": "KG",</v>
      </c>
      <c r="F9" s="41" t="s">
        <v>82</v>
      </c>
      <c r="G9" s="14" t="s">
        <v>104</v>
      </c>
      <c r="H9" s="14" t="s">
        <v>105</v>
      </c>
      <c r="I9" s="14" t="s">
        <v>106</v>
      </c>
      <c r="J9" s="14" t="s">
        <v>79</v>
      </c>
      <c r="K9" s="14">
        <v>4</v>
      </c>
      <c r="L9" s="4" t="s">
        <v>86</v>
      </c>
      <c r="N9" s="14" t="s">
        <v>87</v>
      </c>
      <c r="O9" t="s">
        <v>107</v>
      </c>
      <c r="P9" s="62" t="s">
        <v>108</v>
      </c>
    </row>
    <row r="10" spans="1:16">
      <c r="A10" s="44">
        <v>8</v>
      </c>
      <c r="B10" s="18" t="s">
        <v>74</v>
      </c>
      <c r="C10" s="18" t="str">
        <f>IF(B10="person","p_",(IF(B10="organisation","o_",(IF(B10="person/organisation","po_","")))))</f>
        <v>po_</v>
      </c>
      <c r="D10" s="18" t="s">
        <v>90</v>
      </c>
      <c r="E10" s="18" t="str">
        <f>IF(ISBLANK(F10),G10,IF(ISBLANK(M10),_xlfn.CONCAT($J$1,C10,G10,$J$1,": ",,$J$1,D10,$J$1,IF(LEFT(E11,1)="}","",",")),_xlfn.CONCAT($J$1,C10,G10,$J$1,": ",,,D10,,IF(LEFT(E11,1)="}","",","))))</f>
        <v>"po_Insolvenz": true,</v>
      </c>
      <c r="F10" s="4" t="s">
        <v>76</v>
      </c>
      <c r="G10" s="17" t="s">
        <v>109</v>
      </c>
      <c r="H10" s="14" t="s">
        <v>110</v>
      </c>
      <c r="I10" s="14"/>
      <c r="J10" s="14" t="s">
        <v>79</v>
      </c>
      <c r="K10" s="14">
        <v>1</v>
      </c>
      <c r="M10" t="s">
        <v>95</v>
      </c>
      <c r="N10" t="s">
        <v>111</v>
      </c>
      <c r="O10" t="s">
        <v>112</v>
      </c>
    </row>
    <row r="11" spans="1:16">
      <c r="A11" s="44">
        <v>9</v>
      </c>
      <c r="B11" s="18" t="s">
        <v>74</v>
      </c>
      <c r="C11" s="18" t="str">
        <f>IF(B11="person","p_",(IF(B11="organisation","o_",(IF(B11="person/organisation","po_","")))))</f>
        <v>po_</v>
      </c>
      <c r="D11" s="18" t="s">
        <v>113</v>
      </c>
      <c r="E11" s="18" t="str">
        <f>IF(ISBLANK(F11),G11,IF(ISBLANK(M11),_xlfn.CONCAT($J$1,C11,G11,$J$1,": ",,$J$1,D11,$J$1,IF(LEFT(E12,1)="}","",",")),_xlfn.CONCAT($J$1,C11,G11,$J$1,": ",,,D11,,IF(LEFT(E12,1)="}","",","))))</f>
        <v>"po_Klassifikation": "IN"</v>
      </c>
      <c r="F11" s="4" t="s">
        <v>76</v>
      </c>
      <c r="G11" s="17" t="s">
        <v>114</v>
      </c>
      <c r="H11" s="52" t="s">
        <v>115</v>
      </c>
      <c r="I11" s="14"/>
      <c r="J11" s="14" t="s">
        <v>79</v>
      </c>
      <c r="K11" s="14">
        <v>4</v>
      </c>
      <c r="L11" s="4" t="s">
        <v>86</v>
      </c>
      <c r="N11" s="14" t="s">
        <v>87</v>
      </c>
      <c r="O11" t="s">
        <v>116</v>
      </c>
      <c r="P11" s="62" t="s">
        <v>117</v>
      </c>
    </row>
    <row r="12" spans="1:16" s="30" customFormat="1">
      <c r="A12" s="44">
        <v>10</v>
      </c>
      <c r="B12" s="24"/>
      <c r="C12" s="24" t="str">
        <f>IF(B12="person","p_",(IF(B12="organisation","o_",(IF(B12="person/organisation","po_","")))))</f>
        <v/>
      </c>
      <c r="D12" s="24"/>
      <c r="E12" s="24" t="str">
        <f>IF(ISBLANK(F12),G12,IF(ISBLANK(M12),_xlfn.CONCAT($J$1,C12,G12,$J$1,": ",,$J$1,D12,$J$1,IF(LEFT(E13,1)="}","",",")),_xlfn.CONCAT($J$1,C12,G12,$J$1,": ",,,D12,,IF(LEFT(E13,1)="}","",","))))</f>
        <v>},</v>
      </c>
      <c r="F12" s="27"/>
      <c r="G12" s="24" t="s">
        <v>118</v>
      </c>
      <c r="H12" s="29"/>
      <c r="I12" s="29"/>
      <c r="J12" s="29"/>
      <c r="K12" s="29"/>
      <c r="L12" s="27"/>
    </row>
    <row r="13" spans="1:16" s="30" customFormat="1">
      <c r="A13" s="44">
        <v>11</v>
      </c>
      <c r="B13" s="31"/>
      <c r="C13" s="24" t="str">
        <f>IF(B13="person","p_",(IF(B13="organisation","o_",(IF(B13="person/organisation","po_","")))))</f>
        <v/>
      </c>
      <c r="D13" s="24"/>
      <c r="E13" s="24" t="str">
        <f>IF(ISBLANK(F13),G13,IF(ISBLANK(M13),_xlfn.CONCAT($J$1,C13,G13,$J$1,": ",,$J$1,D13,$J$1,IF(LEFT(E14,1)="}","",",")),_xlfn.CONCAT($J$1,C13,G13,$J$1,": ",,,D13,,IF(LEFT(E14,1)="}","",","))))</f>
        <v>"Namen": {</v>
      </c>
      <c r="F13" s="27"/>
      <c r="G13" s="31" t="s">
        <v>119</v>
      </c>
      <c r="H13" s="29"/>
      <c r="I13" s="29"/>
      <c r="J13" s="29"/>
      <c r="K13" s="29"/>
      <c r="L13" s="27"/>
    </row>
    <row r="14" spans="1:16">
      <c r="A14" s="44">
        <v>12</v>
      </c>
      <c r="B14" s="18" t="s">
        <v>74</v>
      </c>
      <c r="C14" s="18" t="str">
        <f>IF(B14="person","p_",(IF(B14="organisation","o_",(IF(B14="person/organisation","po_","")))))</f>
        <v>po_</v>
      </c>
      <c r="D14" s="18" t="s">
        <v>120</v>
      </c>
      <c r="E14" s="18" t="str">
        <f>IF(ISBLANK(F14),G14,IF(ISBLANK(M14),_xlfn.CONCAT($J$1,C14,G14,$J$1,": ",,$J$1,D14,$J$1,IF(LEFT(E15,1)="}","",",")),_xlfn.CONCAT($J$1,C14,G14,$J$1,": ",,,D14,,IF(LEFT(E15,1)="}","",","))))</f>
        <v>"po_Anrede": "Herr",</v>
      </c>
      <c r="F14" s="4" t="s">
        <v>76</v>
      </c>
      <c r="G14" s="17" t="s">
        <v>121</v>
      </c>
      <c r="H14" s="14" t="s">
        <v>122</v>
      </c>
      <c r="I14" s="14"/>
      <c r="J14" s="14" t="s">
        <v>79</v>
      </c>
      <c r="K14" s="14">
        <v>4</v>
      </c>
      <c r="L14" s="4" t="s">
        <v>86</v>
      </c>
      <c r="N14" s="14" t="s">
        <v>87</v>
      </c>
      <c r="O14" t="s">
        <v>123</v>
      </c>
      <c r="P14" s="62" t="s">
        <v>124</v>
      </c>
    </row>
    <row r="15" spans="1:16">
      <c r="A15" s="44">
        <v>13</v>
      </c>
      <c r="B15" s="18" t="s">
        <v>125</v>
      </c>
      <c r="C15" s="18" t="str">
        <f>IF(B15="person","p_",(IF(B15="organisation","o_",(IF(B15="person/organisation","po_","")))))</f>
        <v>p_</v>
      </c>
      <c r="D15" s="18" t="s">
        <v>126</v>
      </c>
      <c r="E15" s="18" t="str">
        <f>IF(ISBLANK(F15),G15,IF(ISBLANK(M15),_xlfn.CONCAT($J$1,C15,G15,$J$1,": ",,$J$1,D15,$J$1,IF(LEFT(E17,1)="}","",",")),_xlfn.CONCAT($J$1,C15,G15,$J$1,": ",,,D15,,IF(LEFT(E17,1)="}","",","))))</f>
        <v>"p_Titelvor": "Dr.",</v>
      </c>
      <c r="F15" s="4" t="s">
        <v>76</v>
      </c>
      <c r="G15" s="14" t="s">
        <v>127</v>
      </c>
      <c r="H15" s="54" t="s">
        <v>128</v>
      </c>
      <c r="I15" s="14"/>
      <c r="J15" s="14" t="s">
        <v>79</v>
      </c>
      <c r="K15" s="14">
        <v>40</v>
      </c>
      <c r="L15" s="4" t="s">
        <v>86</v>
      </c>
      <c r="N15" s="39" t="s">
        <v>129</v>
      </c>
      <c r="O15" t="s">
        <v>130</v>
      </c>
      <c r="P15" s="62" t="s">
        <v>131</v>
      </c>
    </row>
    <row r="16" spans="1:16">
      <c r="A16" s="44">
        <v>14</v>
      </c>
      <c r="B16" s="18" t="s">
        <v>125</v>
      </c>
      <c r="C16" s="18" t="str">
        <f>IF(B16="person","p_",(IF(B16="organisation","o_",(IF(B16="person/organisation","po_","")))))</f>
        <v>p_</v>
      </c>
      <c r="D16" s="18" t="s">
        <v>132</v>
      </c>
      <c r="E16" s="18" t="str">
        <f>IF(ISBLANK(F16),G16,IF(ISBLANK(M16),_xlfn.CONCAT($J$1,C16,G16,$J$1,": ",,$J$1,D16,$J$1,IF(LEFT(E18,1)="}","",",")),_xlfn.CONCAT($J$1,C16,G16,$J$1,": ",,,D16,,IF(LEFT(E18,1)="}","",","))))</f>
        <v>"p_Titelnachnach": "BA",</v>
      </c>
      <c r="F16" s="4" t="s">
        <v>76</v>
      </c>
      <c r="G16" s="14" t="s">
        <v>133</v>
      </c>
      <c r="H16" s="54" t="s">
        <v>134</v>
      </c>
      <c r="I16" s="14"/>
      <c r="J16" s="14" t="s">
        <v>79</v>
      </c>
      <c r="K16" s="14">
        <v>40</v>
      </c>
      <c r="N16" s="39" t="s">
        <v>129</v>
      </c>
      <c r="O16" t="s">
        <v>135</v>
      </c>
    </row>
    <row r="17" spans="1:16">
      <c r="A17" s="44">
        <v>15</v>
      </c>
      <c r="B17" s="18" t="s">
        <v>125</v>
      </c>
      <c r="C17" s="18" t="str">
        <f>IF(B17="person","p_",(IF(B17="organisation","o_",(IF(B17="person/organisation","po_","")))))</f>
        <v>p_</v>
      </c>
      <c r="D17" s="18" t="s">
        <v>136</v>
      </c>
      <c r="E17" s="18" t="str">
        <f>IF(ISBLANK(F17),G17,IF(ISBLANK(M17),_xlfn.CONCAT($J$1,C17,G17,$J$1,": ",,$J$1,D17,$J$1,IF(LEFT(E18,1)="}","",",")),_xlfn.CONCAT($J$1,C17,G17,$J$1,": ",,,D17,,IF(LEFT(E18,1)="}","",","))))</f>
        <v>"p_Vorname": "Peter",</v>
      </c>
      <c r="F17" s="43" t="s">
        <v>76</v>
      </c>
      <c r="G17" s="14" t="s">
        <v>137</v>
      </c>
      <c r="H17" s="14" t="s">
        <v>138</v>
      </c>
      <c r="I17" s="14" t="s">
        <v>139</v>
      </c>
      <c r="J17" s="14" t="s">
        <v>79</v>
      </c>
      <c r="K17" s="14">
        <v>40</v>
      </c>
      <c r="N17" t="s">
        <v>96</v>
      </c>
      <c r="O17" t="s">
        <v>140</v>
      </c>
    </row>
    <row r="18" spans="1:16">
      <c r="A18" s="44">
        <v>16</v>
      </c>
      <c r="B18" s="18" t="s">
        <v>125</v>
      </c>
      <c r="C18" s="18" t="str">
        <f>IF(B18="person","p_",(IF(B18="organisation","o_",(IF(B18="person/organisation","po_","")))))</f>
        <v>p_</v>
      </c>
      <c r="D18" s="18" t="s">
        <v>141</v>
      </c>
      <c r="E18" s="18" t="str">
        <f>IF(ISBLANK(F18),G18,IF(ISBLANK(M18),_xlfn.CONCAT($J$1,C18,G18,$J$1,": ",,$J$1,D18,$J$1,IF(LEFT(E19,1)="}","",",")),_xlfn.CONCAT($J$1,C18,G18,$J$1,": ",,,D18,,IF(LEFT(E19,1)="}","",","))))</f>
        <v>"p_Nachname": "Tosh",</v>
      </c>
      <c r="F18" s="43" t="s">
        <v>76</v>
      </c>
      <c r="G18" s="14" t="s">
        <v>142</v>
      </c>
      <c r="H18" s="14" t="s">
        <v>143</v>
      </c>
      <c r="I18" s="14" t="s">
        <v>144</v>
      </c>
      <c r="J18" s="14" t="s">
        <v>79</v>
      </c>
      <c r="K18" s="14">
        <v>40</v>
      </c>
      <c r="N18" t="s">
        <v>96</v>
      </c>
      <c r="O18" t="s">
        <v>145</v>
      </c>
    </row>
    <row r="19" spans="1:16">
      <c r="A19" s="44">
        <v>17</v>
      </c>
      <c r="B19" s="18" t="s">
        <v>146</v>
      </c>
      <c r="C19" s="18" t="str">
        <f>IF(B19="person","p_",(IF(B19="organisation","o_",(IF(B19="person/organisation","po_","")))))</f>
        <v>o_</v>
      </c>
      <c r="D19" s="18" t="s">
        <v>147</v>
      </c>
      <c r="E19" s="18" t="str">
        <f>IF(ISBLANK(F19),G19,IF(ISBLANK(M19),_xlfn.CONCAT($J$1,C19,G19,$J$1,": ",,$J$1,D19,$J$1,IF(LEFT(E20,1)="}","",",")),_xlfn.CONCAT($J$1,C19,G19,$J$1,": ",,,D19,,IF(LEFT(E20,1)="}","",","))))</f>
        <v>"o_Name1": "Peters",</v>
      </c>
      <c r="F19" s="42" t="s">
        <v>76</v>
      </c>
      <c r="G19" s="17" t="s">
        <v>148</v>
      </c>
      <c r="H19" s="14" t="s">
        <v>149</v>
      </c>
      <c r="I19" s="14" t="s">
        <v>150</v>
      </c>
      <c r="J19" s="14" t="s">
        <v>79</v>
      </c>
      <c r="K19" s="14">
        <v>40</v>
      </c>
      <c r="N19" t="s">
        <v>96</v>
      </c>
      <c r="O19" t="s">
        <v>151</v>
      </c>
    </row>
    <row r="20" spans="1:16">
      <c r="A20" s="44">
        <v>18</v>
      </c>
      <c r="B20" s="18" t="s">
        <v>146</v>
      </c>
      <c r="C20" s="18" t="str">
        <f>IF(B20="person","p_",(IF(B20="organisation","o_",(IF(B20="person/organisation","po_","")))))</f>
        <v>o_</v>
      </c>
      <c r="D20" s="18" t="s">
        <v>152</v>
      </c>
      <c r="E20" s="18" t="str">
        <f>IF(ISBLANK(F20),G20,IF(ISBLANK(M20),_xlfn.CONCAT($J$1,C20,G20,$J$1,": ",,$J$1,D20,$J$1,IF(LEFT(E21,1)="}","",",")),_xlfn.CONCAT($J$1,C20,G20,$J$1,": ",,,D20,,IF(LEFT(E21,1)="}","",","))))</f>
        <v>"o_Name2": "Brunnenbau",</v>
      </c>
      <c r="F20" s="4" t="s">
        <v>76</v>
      </c>
      <c r="G20" s="14" t="s">
        <v>153</v>
      </c>
      <c r="H20" s="14" t="s">
        <v>154</v>
      </c>
      <c r="I20" s="14"/>
      <c r="J20" s="14" t="s">
        <v>79</v>
      </c>
      <c r="K20" s="14">
        <v>40</v>
      </c>
      <c r="N20" t="s">
        <v>96</v>
      </c>
      <c r="O20" t="s">
        <v>155</v>
      </c>
    </row>
    <row r="21" spans="1:16">
      <c r="A21" s="44">
        <v>19</v>
      </c>
      <c r="B21" s="18" t="s">
        <v>146</v>
      </c>
      <c r="C21" s="18" t="str">
        <f>IF(B21="person","p_",(IF(B21="organisation","o_",(IF(B21="person/organisation","po_","")))))</f>
        <v>o_</v>
      </c>
      <c r="D21" s="18" t="s">
        <v>156</v>
      </c>
      <c r="E21" s="18" t="str">
        <f>IF(ISBLANK(F21),G21,IF(ISBLANK(M21),_xlfn.CONCAT($J$1,C21,G21,$J$1,": ",,$J$1,D21,$J$1,IF(LEFT(E22,1)="}","",",")),_xlfn.CONCAT($J$1,C21,G21,$J$1,": ",,,D21,,IF(LEFT(E22,1)="}","",","))))</f>
        <v>"o_Name3": "Gesellschaft ohne",</v>
      </c>
      <c r="F21" s="4" t="s">
        <v>76</v>
      </c>
      <c r="G21" s="14" t="s">
        <v>157</v>
      </c>
      <c r="H21" s="14" t="s">
        <v>158</v>
      </c>
      <c r="I21" s="14"/>
      <c r="J21" s="14" t="s">
        <v>79</v>
      </c>
      <c r="K21" s="14">
        <v>40</v>
      </c>
      <c r="N21" t="s">
        <v>96</v>
      </c>
      <c r="O21" t="s">
        <v>159</v>
      </c>
    </row>
    <row r="22" spans="1:16">
      <c r="A22" s="44">
        <v>20</v>
      </c>
      <c r="B22" s="18" t="s">
        <v>146</v>
      </c>
      <c r="C22" s="18" t="str">
        <f>IF(B22="person","p_",(IF(B22="organisation","o_",(IF(B22="person/organisation","po_","")))))</f>
        <v>o_</v>
      </c>
      <c r="D22" s="18" t="s">
        <v>160</v>
      </c>
      <c r="E22" s="18" t="str">
        <f>IF(ISBLANK(F22),G22,IF(ISBLANK(M22),_xlfn.CONCAT($J$1,C22,G22,$J$1,": ",,$J$1,D22,$J$1,IF(LEFT(E23,1)="}","",",")),_xlfn.CONCAT($J$1,C22,G22,$J$1,": ",,,D22,,IF(LEFT(E23,1)="}","",","))))</f>
        <v>"o_Name4": "Schaufel"</v>
      </c>
      <c r="F22" s="4" t="s">
        <v>76</v>
      </c>
      <c r="G22" s="14" t="s">
        <v>161</v>
      </c>
      <c r="H22" s="14" t="s">
        <v>162</v>
      </c>
      <c r="I22" s="14"/>
      <c r="J22" s="14" t="s">
        <v>79</v>
      </c>
      <c r="K22" s="14">
        <v>40</v>
      </c>
      <c r="N22" t="s">
        <v>96</v>
      </c>
      <c r="O22" t="s">
        <v>163</v>
      </c>
    </row>
    <row r="23" spans="1:16" s="30" customFormat="1">
      <c r="A23" s="44">
        <v>21</v>
      </c>
      <c r="B23" s="24"/>
      <c r="C23" s="24" t="str">
        <f>IF(B23="person","p_",(IF(B23="organisation","o_",(IF(B23="person/organisation","po_","")))))</f>
        <v/>
      </c>
      <c r="D23" s="24"/>
      <c r="E23" s="24" t="str">
        <f>IF(ISBLANK(F23),G23,IF(ISBLANK(M23),_xlfn.CONCAT($J$1,C23,G23,$J$1,": ",,$J$1,D23,$J$1,IF(LEFT(E24,1)="}","",",")),_xlfn.CONCAT($J$1,C23,G23,$J$1,": ",,,D23,,IF(LEFT(E24,1)="}","",","))))</f>
        <v>},</v>
      </c>
      <c r="F23" s="27"/>
      <c r="G23" s="24" t="s">
        <v>118</v>
      </c>
      <c r="H23" s="29"/>
      <c r="I23" s="29"/>
      <c r="J23" s="29"/>
      <c r="K23" s="29"/>
      <c r="L23" s="27"/>
    </row>
    <row r="24" spans="1:16" s="30" customFormat="1">
      <c r="A24" s="44">
        <v>22</v>
      </c>
      <c r="B24" s="31"/>
      <c r="C24" s="24" t="str">
        <f>IF(B24="person","p_",(IF(B24="organisation","o_",(IF(B24="person/organisation","po_","")))))</f>
        <v/>
      </c>
      <c r="D24" s="24"/>
      <c r="E24" s="24" t="str">
        <f>IF(ISBLANK(F24),G24,IF(ISBLANK(M24),_xlfn.CONCAT($J$1,C24,G24,$J$1,": ",,$J$1,D24,$J$1,IF(LEFT(E25,1)="}","",",")),_xlfn.CONCAT($J$1,C24,G24,$J$1,": ",,,D24,,IF(LEFT(E25,1)="}","",","))))</f>
        <v>"Adresse": {</v>
      </c>
      <c r="F24" s="27"/>
      <c r="G24" s="24" t="s">
        <v>164</v>
      </c>
      <c r="H24" s="29"/>
      <c r="I24" s="29"/>
      <c r="J24" s="29"/>
      <c r="K24" s="29"/>
      <c r="L24" s="27"/>
    </row>
    <row r="25" spans="1:16">
      <c r="A25" s="44">
        <v>23</v>
      </c>
      <c r="B25" s="18" t="s">
        <v>74</v>
      </c>
      <c r="C25" s="18" t="str">
        <f>IF(B25="person","p_",(IF(B25="organisation","o_",(IF(B25="person/organisation","po_","")))))</f>
        <v>po_</v>
      </c>
      <c r="D25" s="18" t="s">
        <v>165</v>
      </c>
      <c r="E25" s="49" t="str">
        <f>IF(ISBLANK(F25),G25,IF(ISBLANK(M25),_xlfn.CONCAT($J$1,C25,G25,$J$1,": ",,$J$1,D25,$J$1,IF(LEFT(E26,1)="}","",",")),_xlfn.CONCAT($J$1,C25,G25,$J$1,": ",,,D25,,IF(LEFT(E26,1)="}","",","))))</f>
        <v>"po_Strasse": "Langestr",</v>
      </c>
      <c r="F25" s="41" t="s">
        <v>82</v>
      </c>
      <c r="G25" s="14" t="s">
        <v>166</v>
      </c>
      <c r="H25" s="14" t="s">
        <v>167</v>
      </c>
      <c r="I25" s="14" t="s">
        <v>168</v>
      </c>
      <c r="J25" s="14" t="s">
        <v>79</v>
      </c>
      <c r="K25" s="14">
        <v>35</v>
      </c>
      <c r="N25" t="s">
        <v>96</v>
      </c>
      <c r="O25" t="s">
        <v>169</v>
      </c>
    </row>
    <row r="26" spans="1:16">
      <c r="A26" s="44">
        <v>24</v>
      </c>
      <c r="B26" s="18" t="s">
        <v>74</v>
      </c>
      <c r="C26" s="18" t="str">
        <f>IF(B26="person","p_",(IF(B26="organisation","o_",(IF(B26="person/organisation","po_","")))))</f>
        <v>po_</v>
      </c>
      <c r="D26" s="18">
        <v>7</v>
      </c>
      <c r="E26" s="18" t="str">
        <f>IF(ISBLANK(F26),G26,IF(ISBLANK(M26),_xlfn.CONCAT($J$1,C26,G26,$J$1,": ",,$J$1,D26,$J$1,IF(LEFT(E27,1)="}","",",")),_xlfn.CONCAT($J$1,C26,G26,$J$1,": ",,,D26,,IF(LEFT(E27,1)="}","",","))))</f>
        <v>"po_Hausnummer": "7",</v>
      </c>
      <c r="F26" s="41" t="s">
        <v>76</v>
      </c>
      <c r="G26" s="14" t="s">
        <v>170</v>
      </c>
      <c r="H26" s="14" t="s">
        <v>171</v>
      </c>
      <c r="I26" s="14" t="s">
        <v>172</v>
      </c>
      <c r="J26" s="14" t="s">
        <v>79</v>
      </c>
      <c r="K26" s="14">
        <v>10</v>
      </c>
      <c r="N26" t="s">
        <v>96</v>
      </c>
      <c r="O26" t="s">
        <v>173</v>
      </c>
    </row>
    <row r="27" spans="1:16">
      <c r="A27" s="44">
        <v>25</v>
      </c>
      <c r="B27" s="18" t="s">
        <v>74</v>
      </c>
      <c r="C27" s="18" t="str">
        <f>IF(B27="person","p_",(IF(B27="organisation","o_",(IF(B27="person/organisation","po_","")))))</f>
        <v>po_</v>
      </c>
      <c r="D27" s="18" t="s">
        <v>174</v>
      </c>
      <c r="E27" s="49" t="str">
        <f>IF(ISBLANK(F27),G27,IF(ISBLANK(M27),_xlfn.CONCAT($J$1,C27,G27,$J$1,": ",,$J$1,D27,$J$1,IF(LEFT(E28,1)="}","",",")),_xlfn.CONCAT($J$1,C27,G27,$J$1,": ",,,D27,,IF(LEFT(E28,1)="}","",","))))</f>
        <v>"po_Hausnummerergaenzung": "uns eck",</v>
      </c>
      <c r="F27" s="4" t="s">
        <v>76</v>
      </c>
      <c r="G27" s="14" t="s">
        <v>175</v>
      </c>
      <c r="H27" s="14" t="s">
        <v>176</v>
      </c>
      <c r="I27" s="14"/>
      <c r="J27" s="14" t="s">
        <v>79</v>
      </c>
      <c r="K27" s="14">
        <v>10</v>
      </c>
      <c r="N27" t="s">
        <v>96</v>
      </c>
      <c r="O27" t="s">
        <v>177</v>
      </c>
    </row>
    <row r="28" spans="1:16">
      <c r="A28" s="44">
        <v>26</v>
      </c>
      <c r="B28" s="18" t="s">
        <v>74</v>
      </c>
      <c r="C28" s="18" t="str">
        <f>IF(B28="person","p_",(IF(B28="organisation","o_",(IF(B28="person/organisation","po_","")))))</f>
        <v>po_</v>
      </c>
      <c r="D28" s="18">
        <v>123456</v>
      </c>
      <c r="E28" s="18" t="str">
        <f>IF(ISBLANK(F28),G28,IF(ISBLANK(M28),_xlfn.CONCAT($J$1,C28,G28,$J$1,": ",,$J$1,D28,$J$1,IF(LEFT(E29,1)="}","",",")),_xlfn.CONCAT($J$1,C28,G28,$J$1,": ",,,D28,,IF(LEFT(E29,1)="}","",","))))</f>
        <v>"po_Postleitzahl": "123456",</v>
      </c>
      <c r="F28" s="41" t="s">
        <v>82</v>
      </c>
      <c r="G28" s="14" t="s">
        <v>178</v>
      </c>
      <c r="H28" s="14" t="s">
        <v>179</v>
      </c>
      <c r="I28" s="14" t="s">
        <v>180</v>
      </c>
      <c r="J28" s="14" t="s">
        <v>79</v>
      </c>
      <c r="K28" s="14">
        <v>10</v>
      </c>
      <c r="N28" t="s">
        <v>96</v>
      </c>
      <c r="O28" t="s">
        <v>181</v>
      </c>
    </row>
    <row r="29" spans="1:16">
      <c r="A29" s="44">
        <v>27</v>
      </c>
      <c r="B29" s="18" t="s">
        <v>74</v>
      </c>
      <c r="C29" s="18" t="str">
        <f>IF(B29="person","p_",(IF(B29="organisation","o_",(IF(B29="person/organisation","po_","")))))</f>
        <v>po_</v>
      </c>
      <c r="D29" s="18" t="s">
        <v>182</v>
      </c>
      <c r="E29" s="18" t="str">
        <f>IF(ISBLANK(F29),G29,IF(ISBLANK(M29),_xlfn.CONCAT($J$1,C29,G29,$J$1,": ",,$J$1,D29,$J$1,IF(LEFT(E30,1)="}","",",")),_xlfn.CONCAT($J$1,C29,G29,$J$1,": ",,,D29,,IF(LEFT(E30,1)="}","",","))))</f>
        <v>"po_Ort": "Kingstown",</v>
      </c>
      <c r="F29" s="41" t="s">
        <v>82</v>
      </c>
      <c r="G29" s="14" t="s">
        <v>183</v>
      </c>
      <c r="H29" s="14" t="s">
        <v>184</v>
      </c>
      <c r="I29" s="14" t="s">
        <v>185</v>
      </c>
      <c r="J29" s="14" t="s">
        <v>79</v>
      </c>
      <c r="K29" s="14">
        <v>35</v>
      </c>
      <c r="N29" t="s">
        <v>96</v>
      </c>
      <c r="O29" t="s">
        <v>186</v>
      </c>
    </row>
    <row r="30" spans="1:16">
      <c r="A30" s="44">
        <v>28</v>
      </c>
      <c r="B30" s="18" t="s">
        <v>74</v>
      </c>
      <c r="C30" s="18" t="str">
        <f>IF(B30="person","p_",(IF(B30="organisation","o_",(IF(B30="person/organisation","po_","")))))</f>
        <v>po_</v>
      </c>
      <c r="D30" s="18" t="s">
        <v>187</v>
      </c>
      <c r="E30" s="18" t="str">
        <f>IF(ISBLANK(F30),G30,IF(ISBLANK(M30),_xlfn.CONCAT($J$1,C30,G30,$J$1,": ",,$J$1,D30,$J$1,IF(LEFT(E31,1)="}","",",")),_xlfn.CONCAT($J$1,C30,G30,$J$1,": ",,,D30,,IF(LEFT(E31,1)="}","",","))))</f>
        <v>"po_Ortsteil": "Ghetto",</v>
      </c>
      <c r="F30" s="4" t="s">
        <v>76</v>
      </c>
      <c r="G30" s="14" t="s">
        <v>188</v>
      </c>
      <c r="H30" s="14" t="s">
        <v>189</v>
      </c>
      <c r="I30" s="14"/>
      <c r="J30" s="14" t="s">
        <v>79</v>
      </c>
      <c r="K30" s="14">
        <v>40</v>
      </c>
      <c r="N30" t="s">
        <v>96</v>
      </c>
      <c r="O30" t="s">
        <v>190</v>
      </c>
    </row>
    <row r="31" spans="1:16">
      <c r="A31" s="44">
        <v>29</v>
      </c>
      <c r="B31" s="18" t="s">
        <v>74</v>
      </c>
      <c r="C31" s="18" t="str">
        <f>IF(B31="person","p_",(IF(B31="organisation","o_",(IF(B31="person/organisation","po_","")))))</f>
        <v>po_</v>
      </c>
      <c r="D31" s="18" t="s">
        <v>191</v>
      </c>
      <c r="E31" s="18" t="str">
        <f>IF(ISBLANK(F31),G31,IF(ISBLANK(M31),_xlfn.CONCAT($J$1,C31,G31,$J$1,": ",,$J$1,D31,$J$1,IF(LEFT(E32,1)="}","",",")),_xlfn.CONCAT($J$1,C31,G31,$J$1,": ",,,D31,,IF(LEFT(E32,1)="}","",","))))</f>
        <v>"po_Region": "ReaggeaPlains",</v>
      </c>
      <c r="F31" s="4" t="s">
        <v>76</v>
      </c>
      <c r="G31" s="14" t="s">
        <v>192</v>
      </c>
      <c r="H31" s="14" t="s">
        <v>193</v>
      </c>
      <c r="I31" s="14"/>
      <c r="J31" s="14" t="s">
        <v>79</v>
      </c>
      <c r="K31" s="14">
        <v>3</v>
      </c>
      <c r="N31" t="s">
        <v>96</v>
      </c>
      <c r="O31" t="s">
        <v>194</v>
      </c>
      <c r="P31" s="63" t="s">
        <v>195</v>
      </c>
    </row>
    <row r="32" spans="1:16">
      <c r="A32" s="44">
        <v>30</v>
      </c>
      <c r="B32" s="18" t="s">
        <v>74</v>
      </c>
      <c r="C32" s="18" t="str">
        <f>IF(B32="person","p_",(IF(B32="organisation","o_",(IF(B32="person/organisation","po_","")))))</f>
        <v>po_</v>
      </c>
      <c r="D32" s="18" t="s">
        <v>196</v>
      </c>
      <c r="E32" s="18" t="str">
        <f>IF(ISBLANK(F32),G32,IF(ISBLANK(M32),_xlfn.CONCAT($J$1,C32,G32,$J$1,": ",,$J$1,D32,$J$1,IF(LEFT(E33,1)="}","",",")),_xlfn.CONCAT($J$1,C32,G32,$J$1,": ",,,D32,,IF(LEFT(E33,1)="}","",","))))</f>
        <v>"po_Regionalstrukturgruppe": "NamederRSG",</v>
      </c>
      <c r="F32" s="4" t="s">
        <v>76</v>
      </c>
      <c r="G32" s="17" t="s">
        <v>197</v>
      </c>
      <c r="H32" s="14" t="s">
        <v>198</v>
      </c>
      <c r="I32" s="14"/>
      <c r="J32" s="14" t="s">
        <v>79</v>
      </c>
      <c r="K32" s="14">
        <v>8</v>
      </c>
      <c r="N32" t="s">
        <v>96</v>
      </c>
      <c r="O32" t="s">
        <v>199</v>
      </c>
      <c r="P32" s="62" t="s">
        <v>195</v>
      </c>
    </row>
    <row r="33" spans="1:16">
      <c r="A33" s="44">
        <v>31</v>
      </c>
      <c r="B33" s="18" t="s">
        <v>74</v>
      </c>
      <c r="C33" s="18" t="str">
        <f>IF(B33="person","p_",(IF(B33="organisation","o_",(IF(B33="person/organisation","po_","")))))</f>
        <v>po_</v>
      </c>
      <c r="D33" s="18" t="s">
        <v>200</v>
      </c>
      <c r="E33" s="18" t="str">
        <f>IF(ISBLANK(F33),G33,IF(ISBLANK(M33),_xlfn.CONCAT($J$1,C33,G33,$J$1,": ",,$J$1,D33,$J$1,IF(LEFT(E34,1)="}","",",")),_xlfn.CONCAT($J$1,C33,G33,$J$1,": ",,,D33,,IF(LEFT(E34,1)="}","",","))))</f>
        <v>"po_Land": "AT",</v>
      </c>
      <c r="F33" s="41" t="s">
        <v>82</v>
      </c>
      <c r="G33" s="14" t="s">
        <v>201</v>
      </c>
      <c r="H33" s="14" t="s">
        <v>202</v>
      </c>
      <c r="I33" s="14" t="s">
        <v>203</v>
      </c>
      <c r="J33" s="14" t="s">
        <v>79</v>
      </c>
      <c r="K33" s="14">
        <v>3</v>
      </c>
      <c r="O33" t="s">
        <v>204</v>
      </c>
    </row>
    <row r="34" spans="1:16">
      <c r="A34" s="44">
        <v>32</v>
      </c>
      <c r="B34" s="18" t="s">
        <v>74</v>
      </c>
      <c r="C34" s="18" t="str">
        <f>IF(B34="person","p_",(IF(B34="organisation","o_",(IF(B34="person/organisation","po_","")))))</f>
        <v>po_</v>
      </c>
      <c r="D34" s="18" t="s">
        <v>205</v>
      </c>
      <c r="E34" s="49" t="str">
        <f>IF(ISBLANK(F34),G34,IF(ISBLANK(M34),_xlfn.CONCAT($J$1,C34,G34,$J$1,": ",,$J$1,D34,$J$1,IF(LEFT(E35,1)="}","",",")),_xlfn.CONCAT($J$1,C34,G34,$J$1,": ",,,D34,,IF(LEFT(E35,1)="}","",","))))</f>
        <v>"po_AdresseVerwendung": "XXDEFAULT"</v>
      </c>
      <c r="F34" s="41" t="s">
        <v>82</v>
      </c>
      <c r="G34" s="14" t="s">
        <v>206</v>
      </c>
      <c r="H34" s="14" t="s">
        <v>207</v>
      </c>
      <c r="I34" s="14"/>
      <c r="J34" s="14" t="s">
        <v>79</v>
      </c>
      <c r="K34" s="14"/>
      <c r="N34" t="s">
        <v>208</v>
      </c>
    </row>
    <row r="35" spans="1:16" s="30" customFormat="1">
      <c r="A35" s="44">
        <v>33</v>
      </c>
      <c r="B35" s="24"/>
      <c r="C35" s="24" t="str">
        <f>IF(B35="person","p_",(IF(B35="organisation","o_",(IF(B35="person/organisation","po_","")))))</f>
        <v/>
      </c>
      <c r="D35" s="24"/>
      <c r="E35" s="24" t="str">
        <f>IF(ISBLANK(F35),G35,IF(ISBLANK(M35),_xlfn.CONCAT($J$1,C35,G35,$J$1,": ",,$J$1,D35,$J$1,IF(LEFT(E36,1)="}","",",")),_xlfn.CONCAT($J$1,C35,G35,$J$1,": ",,,D35,,IF(LEFT(E36,1)="}","",","))))</f>
        <v>},</v>
      </c>
      <c r="F35" s="27"/>
      <c r="G35" s="24" t="s">
        <v>118</v>
      </c>
      <c r="H35" s="29"/>
      <c r="I35" s="29"/>
      <c r="J35" s="29"/>
      <c r="K35" s="29"/>
      <c r="L35" s="27"/>
    </row>
    <row r="36" spans="1:16" s="30" customFormat="1">
      <c r="A36" s="44">
        <v>34</v>
      </c>
      <c r="B36" s="31"/>
      <c r="C36" s="24" t="str">
        <f>IF(B36="person","p_",(IF(B36="organisation","o_",(IF(B36="person/organisation","po_","")))))</f>
        <v/>
      </c>
      <c r="D36" s="24"/>
      <c r="E36" s="24" t="str">
        <f>IF(ISBLANK(F36),G36,IF(ISBLANK(M36),_xlfn.CONCAT($J$1,C36,G36,$J$1,": ",,$J$1,D36,$J$1,IF(LEFT(E37,1)="}","",",")),_xlfn.CONCAT($J$1,C36,G36,$J$1,": ",,,D36,,IF(LEFT(E37,1)="}","",","))))</f>
        <v>"Postfach": {</v>
      </c>
      <c r="F36" s="27"/>
      <c r="G36" s="24" t="s">
        <v>209</v>
      </c>
      <c r="H36" s="29"/>
      <c r="I36" s="29"/>
      <c r="J36" s="29"/>
      <c r="K36" s="29"/>
      <c r="L36" s="27"/>
    </row>
    <row r="37" spans="1:16">
      <c r="A37" s="44">
        <v>35</v>
      </c>
      <c r="B37" s="18" t="s">
        <v>74</v>
      </c>
      <c r="C37" s="18" t="str">
        <f>IF(B37="person","p_",(IF(B37="organisation","o_",(IF(B37="person/organisation","po_","")))))</f>
        <v>po_</v>
      </c>
      <c r="D37" s="18" t="s">
        <v>182</v>
      </c>
      <c r="E37" s="18" t="str">
        <f>IF(ISBLANK(F37),G37,IF(ISBLANK(M37),_xlfn.CONCAT($J$1,C37,G37,$J$1,": ",,$J$1,D37,$J$1,IF(LEFT(E38,1)="}","",",")),_xlfn.CONCAT($J$1,C37,G37,$J$1,": ",,,D37,,IF(LEFT(E38,1)="}","",","))))</f>
        <v>"po_PostfachOrt": "Kingstown",</v>
      </c>
      <c r="F37" s="4" t="s">
        <v>76</v>
      </c>
      <c r="G37" s="14" t="s">
        <v>210</v>
      </c>
      <c r="H37" s="14" t="s">
        <v>211</v>
      </c>
      <c r="I37" s="14"/>
      <c r="J37" s="14" t="s">
        <v>79</v>
      </c>
      <c r="K37" s="14">
        <v>40</v>
      </c>
      <c r="N37" t="s">
        <v>96</v>
      </c>
      <c r="O37" t="s">
        <v>212</v>
      </c>
    </row>
    <row r="38" spans="1:16">
      <c r="A38" s="44">
        <v>36</v>
      </c>
      <c r="B38" s="18" t="s">
        <v>74</v>
      </c>
      <c r="C38" s="18" t="str">
        <f>IF(B38="person","p_",(IF(B38="organisation","o_",(IF(B38="person/organisation","po_","")))))</f>
        <v>po_</v>
      </c>
      <c r="D38" s="18">
        <v>123456</v>
      </c>
      <c r="E38" s="18" t="str">
        <f>IF(ISBLANK(F38),G38,IF(ISBLANK(M38),_xlfn.CONCAT($J$1,C38,G38,$J$1,": ",,$J$1,D38,$J$1,IF(LEFT(E39,1)="}","",",")),_xlfn.CONCAT($J$1,C38,G38,$J$1,": ",,,D38,,IF(LEFT(E39,1)="}","",","))))</f>
        <v>"po_PLZPostfach": "123456",</v>
      </c>
      <c r="F38" s="4" t="s">
        <v>76</v>
      </c>
      <c r="G38" s="14" t="s">
        <v>213</v>
      </c>
      <c r="H38" s="14" t="s">
        <v>214</v>
      </c>
      <c r="I38" s="14"/>
      <c r="J38" s="14" t="s">
        <v>79</v>
      </c>
      <c r="K38" s="14">
        <v>10</v>
      </c>
      <c r="N38" t="s">
        <v>96</v>
      </c>
      <c r="O38" t="s">
        <v>215</v>
      </c>
    </row>
    <row r="39" spans="1:16">
      <c r="A39" s="44">
        <v>37</v>
      </c>
      <c r="B39" s="18" t="s">
        <v>74</v>
      </c>
      <c r="C39" s="18" t="str">
        <f>IF(B39="person","p_",(IF(B39="organisation","o_",(IF(B39="person/organisation","po_","")))))</f>
        <v>po_</v>
      </c>
      <c r="D39" s="18" t="s">
        <v>216</v>
      </c>
      <c r="E39" s="18" t="str">
        <f>IF(ISBLANK(F39),G39,IF(ISBLANK(M39),_xlfn.CONCAT($J$1,C39,G39,$J$1,": ",,$J$1,D39,$J$1,IF(LEFT(E40,1)="}","",",")),_xlfn.CONCAT($J$1,C39,G39,$J$1,": ",,,D39,,IF(LEFT(E40,1)="}","",","))))</f>
        <v>"po_Postfach": "PO Box 73a",</v>
      </c>
      <c r="F39" s="4" t="s">
        <v>76</v>
      </c>
      <c r="G39" s="14" t="s">
        <v>217</v>
      </c>
      <c r="H39" s="14" t="s">
        <v>218</v>
      </c>
      <c r="I39" s="14"/>
      <c r="J39" s="14" t="s">
        <v>79</v>
      </c>
      <c r="K39" s="14">
        <v>10</v>
      </c>
      <c r="N39" t="s">
        <v>96</v>
      </c>
      <c r="O39" t="s">
        <v>219</v>
      </c>
      <c r="P39" s="62" t="s">
        <v>195</v>
      </c>
    </row>
    <row r="40" spans="1:16">
      <c r="A40" s="44">
        <v>38</v>
      </c>
      <c r="B40" s="18" t="s">
        <v>74</v>
      </c>
      <c r="C40" s="18" t="str">
        <f>IF(B40="person","p_",(IF(B40="organisation","o_",(IF(B40="person/organisation","po_","")))))</f>
        <v>po_</v>
      </c>
      <c r="D40" s="18" t="s">
        <v>200</v>
      </c>
      <c r="E40" s="18" t="str">
        <f>IF(ISBLANK(F40),G40,IF(ISBLANK(M40),_xlfn.CONCAT($J$1,C40,G40,$J$1,": ",,$J$1,D40,$J$1,IF(LEFT(E41,1)="}","",",")),_xlfn.CONCAT($J$1,C40,G40,$J$1,": ",,,D40,,IF(LEFT(E41,1)="}","",","))))</f>
        <v>"po_LanddesPostfachs": "AT",</v>
      </c>
      <c r="F40" s="4" t="s">
        <v>76</v>
      </c>
      <c r="G40" s="14" t="s">
        <v>220</v>
      </c>
      <c r="H40" s="14" t="s">
        <v>221</v>
      </c>
      <c r="I40" s="14"/>
      <c r="J40" s="14" t="s">
        <v>79</v>
      </c>
      <c r="K40" s="14">
        <v>3</v>
      </c>
      <c r="O40" t="s">
        <v>222</v>
      </c>
    </row>
    <row r="41" spans="1:16">
      <c r="A41" s="44">
        <v>39</v>
      </c>
      <c r="B41" s="18" t="s">
        <v>74</v>
      </c>
      <c r="C41" s="18" t="str">
        <f>IF(B41="person","p_",(IF(B41="organisation","o_",(IF(B41="person/organisation","po_","")))))</f>
        <v>po_</v>
      </c>
      <c r="D41" s="18" t="s">
        <v>223</v>
      </c>
      <c r="E41" s="18" t="str">
        <f>IF(ISBLANK(F41),G41,IF(ISBLANK(M41),_xlfn.CONCAT($J$1,C41,G41,$J$1,": ",,$J$1,D41,$J$1,IF(LEFT(E42,1)="}","",",")),_xlfn.CONCAT($J$1,C41,G41,$J$1,": ",,,D41,,IF(LEFT(E42,1)="}","",","))))</f>
        <v>"po_RegiondesPostfachs": "KMA"</v>
      </c>
      <c r="F41" s="4" t="s">
        <v>76</v>
      </c>
      <c r="G41" s="14" t="s">
        <v>224</v>
      </c>
      <c r="H41" s="14" t="s">
        <v>225</v>
      </c>
      <c r="I41" s="14"/>
      <c r="J41" s="14" t="s">
        <v>79</v>
      </c>
      <c r="K41" s="14">
        <v>3</v>
      </c>
      <c r="N41" t="s">
        <v>96</v>
      </c>
      <c r="O41" t="s">
        <v>226</v>
      </c>
      <c r="P41" s="62" t="s">
        <v>195</v>
      </c>
    </row>
    <row r="42" spans="1:16" s="30" customFormat="1">
      <c r="A42" s="44">
        <v>40</v>
      </c>
      <c r="B42" s="24"/>
      <c r="C42" s="24" t="str">
        <f>IF(B42="person","p_",(IF(B42="organisation","o_",(IF(B42="person/organisation","po_","")))))</f>
        <v/>
      </c>
      <c r="D42" s="24"/>
      <c r="E42" s="24" t="str">
        <f t="shared" ref="E42:E48" si="0">IF(ISBLANK(F42),G42,IF(ISBLANK(M42),_xlfn.CONCAT($J$1,C42,G42,$J$1,": ",,$J$1,D42,$J$1,IF(LEFT(E43,1)="}","",",")),_xlfn.CONCAT($J$1,C42,G42,$J$1,": ",,,D42,,IF(LEFT(E43,1)="}","",","))))</f>
        <v>},</v>
      </c>
      <c r="F42" s="27"/>
      <c r="G42" s="24" t="s">
        <v>118</v>
      </c>
      <c r="H42" s="29"/>
      <c r="I42" s="29"/>
      <c r="J42" s="29"/>
      <c r="K42" s="29"/>
      <c r="L42" s="27"/>
    </row>
    <row r="43" spans="1:16" s="101" customFormat="1">
      <c r="A43" s="44">
        <v>41</v>
      </c>
      <c r="B43" s="97"/>
      <c r="C43" s="97"/>
      <c r="D43" s="97"/>
      <c r="E43" s="97" t="str">
        <f t="shared" si="0"/>
        <v>"Communication": {</v>
      </c>
      <c r="F43" s="99"/>
      <c r="G43" s="97" t="s">
        <v>227</v>
      </c>
      <c r="H43" s="100"/>
      <c r="I43" s="100"/>
      <c r="J43" s="100"/>
      <c r="K43" s="100"/>
      <c r="L43" s="99"/>
    </row>
    <row r="44" spans="1:16" s="101" customFormat="1">
      <c r="A44" s="44">
        <v>42</v>
      </c>
      <c r="B44" s="97" t="s">
        <v>74</v>
      </c>
      <c r="C44" s="97" t="s">
        <v>228</v>
      </c>
      <c r="D44" s="102" t="s">
        <v>229</v>
      </c>
      <c r="E44" s="97" t="str">
        <f t="shared" si="0"/>
        <v>"po_email": "max@mustermann.at",</v>
      </c>
      <c r="F44" s="99" t="s">
        <v>76</v>
      </c>
      <c r="G44" s="98" t="s">
        <v>230</v>
      </c>
      <c r="H44" s="100"/>
      <c r="I44" s="100"/>
      <c r="J44" s="100"/>
      <c r="K44" s="100"/>
      <c r="L44" s="99"/>
      <c r="O44" s="101" t="s">
        <v>231</v>
      </c>
    </row>
    <row r="45" spans="1:16" s="101" customFormat="1" ht="14.25" customHeight="1">
      <c r="A45" s="44">
        <v>43</v>
      </c>
      <c r="B45" s="97" t="s">
        <v>74</v>
      </c>
      <c r="C45" s="97" t="s">
        <v>228</v>
      </c>
      <c r="D45" s="103" t="s">
        <v>232</v>
      </c>
      <c r="E45" s="97" t="str">
        <f>IF(ISBLANK(F45),G45,IF(ISBLANK(M45),_xlfn.CONCAT($J$1,C45,G45,$J$1,": ",,$J$1,D45,$J$1,IF(LEFT(E47,1)="}","",",")),_xlfn.CONCAT($J$1,C45,G45,$J$1,": ",,,D45,,IF(LEFT(E47,1)="}","",","))))</f>
        <v>"po_phoneNumber": "+435525123456"</v>
      </c>
      <c r="F45" s="99" t="s">
        <v>76</v>
      </c>
      <c r="G45" s="98" t="s">
        <v>233</v>
      </c>
      <c r="H45" s="100"/>
      <c r="I45" s="100"/>
      <c r="J45" s="100"/>
      <c r="K45" s="100"/>
      <c r="L45" s="99"/>
      <c r="O45" s="101" t="s">
        <v>234</v>
      </c>
    </row>
    <row r="46" spans="1:16" s="101" customFormat="1">
      <c r="A46" s="44">
        <v>44</v>
      </c>
      <c r="B46" s="97" t="s">
        <v>74</v>
      </c>
      <c r="C46" s="97" t="s">
        <v>228</v>
      </c>
      <c r="D46" s="103" t="s">
        <v>235</v>
      </c>
      <c r="E46" s="97" t="str">
        <f>IF(ISBLANK(F46),G46,IF(ISBLANK(M46),_xlfn.CONCAT($J$1,C46,G46,$J$1,": ",,$J$1,D46,$J$1,IF(LEFT(E48,1)="}","",",")),_xlfn.CONCAT($J$1,C46,G46,$J$1,": ",,,D46,,IF(LEFT(E48,1)="}","",","))))</f>
        <v>"po_mobileNumber": "+43676333222",</v>
      </c>
      <c r="F46" s="99" t="s">
        <v>76</v>
      </c>
      <c r="G46" s="98" t="s">
        <v>236</v>
      </c>
      <c r="H46" s="100"/>
      <c r="I46" s="100"/>
      <c r="J46" s="100"/>
      <c r="K46" s="100"/>
      <c r="L46" s="99"/>
      <c r="O46" s="101" t="s">
        <v>237</v>
      </c>
    </row>
    <row r="47" spans="1:16" s="101" customFormat="1">
      <c r="A47" s="44">
        <v>45</v>
      </c>
      <c r="B47" s="97"/>
      <c r="C47" s="97"/>
      <c r="D47" s="97"/>
      <c r="E47" s="97" t="str">
        <f t="shared" si="0"/>
        <v>},</v>
      </c>
      <c r="F47" s="99"/>
      <c r="G47" s="98" t="s">
        <v>118</v>
      </c>
      <c r="H47" s="100"/>
      <c r="I47" s="100"/>
      <c r="J47" s="100"/>
      <c r="K47" s="100"/>
      <c r="L47" s="99"/>
    </row>
    <row r="48" spans="1:16" s="30" customFormat="1">
      <c r="A48" s="44">
        <v>46</v>
      </c>
      <c r="B48" s="32"/>
      <c r="C48" s="24" t="str">
        <f>IF(B48="person","p_",(IF(B48="organisation","o_",(IF(B48="person/organisation","po_","")))))</f>
        <v/>
      </c>
      <c r="D48" s="24"/>
      <c r="E48" s="24" t="str">
        <f t="shared" si="0"/>
        <v>"Identifikationsmerkmale": {</v>
      </c>
      <c r="F48" s="27"/>
      <c r="G48" s="24" t="s">
        <v>238</v>
      </c>
      <c r="H48" s="27"/>
      <c r="I48" s="27"/>
      <c r="J48" s="27"/>
      <c r="K48" s="27"/>
      <c r="L48" s="27"/>
    </row>
    <row r="49" spans="1:16">
      <c r="A49" s="44">
        <v>47</v>
      </c>
      <c r="B49" s="18" t="s">
        <v>74</v>
      </c>
      <c r="C49" s="18" t="str">
        <f>IF(B49="person","p_",(IF(B49="organisation","o_",(IF(B49="person/organisation","po_","")))))</f>
        <v>po_</v>
      </c>
      <c r="D49" s="18" t="s">
        <v>239</v>
      </c>
      <c r="E49" s="18" t="str">
        <f>IF(ISBLANK(F49),G49,IF(ISBLANK(M49),_xlfn.CONCAT($J$1,C49,G49,$J$1,": ",,$J$1,D49,$J$1,IF(LEFT(E50,1)="}","",",")),_xlfn.CONCAT($J$1,C49,G49,$J$1,": ",,,D49,,IF(LEFT(E50,1)="}","",","))))</f>
        <v>"po_Identifikationsart": "xxx",</v>
      </c>
      <c r="F49" s="4" t="s">
        <v>76</v>
      </c>
      <c r="G49" s="14" t="s">
        <v>240</v>
      </c>
      <c r="H49" s="14" t="s">
        <v>241</v>
      </c>
      <c r="I49" s="14"/>
      <c r="J49" s="14" t="s">
        <v>79</v>
      </c>
      <c r="K49" s="14">
        <v>6</v>
      </c>
      <c r="L49" s="4" t="s">
        <v>86</v>
      </c>
      <c r="N49" t="s">
        <v>242</v>
      </c>
      <c r="O49" t="s">
        <v>243</v>
      </c>
      <c r="P49" s="33" t="s">
        <v>195</v>
      </c>
    </row>
    <row r="50" spans="1:16">
      <c r="A50" s="44">
        <v>48</v>
      </c>
      <c r="B50" s="18" t="s">
        <v>74</v>
      </c>
      <c r="C50" s="18" t="str">
        <f>IF(B50="person","p_",(IF(B50="organisation","o_",(IF(B50="person/organisation","po_","")))))</f>
        <v>po_</v>
      </c>
      <c r="D50" s="18" t="s">
        <v>239</v>
      </c>
      <c r="E50" s="18" t="str">
        <f>IF(ISBLANK(F50),G50,IF(ISBLANK(M50),_xlfn.CONCAT($J$1,C50,G50,$J$1,": ",,$J$1,D50,$J$1,IF(LEFT(E52,1)="}","",",")),_xlfn.CONCAT($J$1,C50,G50,$J$1,": ",,,D50,,IF(LEFT(E52,1)="}","",","))))</f>
        <v>"po_Identifikationsnummer": "xxx",</v>
      </c>
      <c r="F50" s="4" t="s">
        <v>76</v>
      </c>
      <c r="G50" s="14" t="s">
        <v>244</v>
      </c>
      <c r="H50" s="14" t="s">
        <v>245</v>
      </c>
      <c r="I50" s="14"/>
      <c r="J50" s="14" t="s">
        <v>79</v>
      </c>
      <c r="K50" s="14">
        <v>60</v>
      </c>
      <c r="N50" t="s">
        <v>96</v>
      </c>
      <c r="O50" t="s">
        <v>246</v>
      </c>
      <c r="P50" s="33" t="s">
        <v>195</v>
      </c>
    </row>
    <row r="51" spans="1:16">
      <c r="A51" s="44">
        <v>49</v>
      </c>
      <c r="B51" s="85" t="s">
        <v>146</v>
      </c>
      <c r="C51" s="85" t="str">
        <f>IF(B51="person","p_",(IF(B51="organisation","o_",(IF(B51="person/organisation","po_","")))))</f>
        <v>o_</v>
      </c>
      <c r="D51" s="85">
        <v>123</v>
      </c>
      <c r="E51" s="85" t="str">
        <f>IF(ISBLANK(F51),G51,IF(ISBLANK(M51),_xlfn.CONCAT($J$1,C51,G51,$J$1,": ",,$J$1,D51,$J$1,IF(LEFT(E53,1)="}","",",")),_xlfn.CONCAT($J$1,C51,G51,$J$1,": ",,,D51,,IF(LEFT(E53,1)="}","",","))))</f>
        <v>"o_companyRegistrationNumber": "123",</v>
      </c>
      <c r="F51" s="86" t="s">
        <v>76</v>
      </c>
      <c r="G51" s="87" t="s">
        <v>247</v>
      </c>
      <c r="H51" s="87"/>
      <c r="I51" s="87"/>
      <c r="J51" s="87"/>
      <c r="K51" s="87"/>
      <c r="L51" s="86"/>
      <c r="M51" s="88"/>
      <c r="N51" s="88" t="s">
        <v>96</v>
      </c>
      <c r="O51" s="88" t="s">
        <v>248</v>
      </c>
      <c r="P51" s="88" t="s">
        <v>249</v>
      </c>
    </row>
    <row r="52" spans="1:16" s="34" customFormat="1">
      <c r="A52" s="44">
        <v>50</v>
      </c>
      <c r="B52" s="37" t="s">
        <v>74</v>
      </c>
      <c r="C52" s="37" t="str">
        <f>IF(B52="person","p_",(IF(B52="organisation","o_",(IF(B52="person/organisation","po_","")))))</f>
        <v>po_</v>
      </c>
      <c r="D52" s="37" t="s">
        <v>250</v>
      </c>
      <c r="E52" s="37" t="str">
        <f>IF(ISBLANK(F52),G52,IF(ISBLANK(M52),_xlfn.CONCAT($J$1,C52,G52,$J$1,": ",,$J$1,D52,$J$1,IF(LEFT(E53,1)="}","",",")),_xlfn.CONCAT($J$1,C52,G52,$J$1,": ",,,D52,,IF(LEFT(E53,1)="}","",","))))</f>
        <v>"po_Steuernummerntyp": "AT0",</v>
      </c>
      <c r="F52" s="38" t="s">
        <v>76</v>
      </c>
      <c r="G52" s="14" t="s">
        <v>251</v>
      </c>
      <c r="H52" s="14" t="s">
        <v>252</v>
      </c>
      <c r="I52" s="14" t="s">
        <v>253</v>
      </c>
      <c r="J52" s="14" t="s">
        <v>79</v>
      </c>
      <c r="K52" s="14">
        <v>4</v>
      </c>
      <c r="L52" s="38"/>
      <c r="N52" t="s">
        <v>242</v>
      </c>
      <c r="O52" s="47" t="s">
        <v>254</v>
      </c>
      <c r="P52" s="40" t="s">
        <v>255</v>
      </c>
    </row>
    <row r="53" spans="1:16">
      <c r="A53" s="44">
        <v>51</v>
      </c>
      <c r="B53" s="18" t="s">
        <v>74</v>
      </c>
      <c r="C53" s="18" t="str">
        <f>IF(B53="person","p_",(IF(B53="organisation","o_",(IF(B53="person/organisation","po_","")))))</f>
        <v>po_</v>
      </c>
      <c r="D53" s="18" t="s">
        <v>256</v>
      </c>
      <c r="E53" s="18" t="str">
        <f>IF(ISBLANK(F53),G53,IF(ISBLANK(M53),_xlfn.CONCAT($J$1,C53,G53,$J$1,": ",,$J$1,D53,$J$1,IF(LEFT(E54,1)="}","",",")),_xlfn.CONCAT($J$1,C53,G53,$J$1,": ",,,D53,,IF(LEFT(E54,1)="}","",","))))</f>
        <v>"po_UID": "ATU123213812",</v>
      </c>
      <c r="F53" s="4" t="s">
        <v>76</v>
      </c>
      <c r="G53" s="14" t="s">
        <v>257</v>
      </c>
      <c r="H53" s="14" t="s">
        <v>258</v>
      </c>
      <c r="I53" s="14"/>
      <c r="J53" s="14" t="s">
        <v>79</v>
      </c>
      <c r="K53" s="14">
        <v>40</v>
      </c>
      <c r="N53" t="s">
        <v>96</v>
      </c>
      <c r="O53" t="s">
        <v>259</v>
      </c>
    </row>
    <row r="54" spans="1:16">
      <c r="A54" s="44">
        <v>52</v>
      </c>
      <c r="B54" s="18" t="s">
        <v>125</v>
      </c>
      <c r="C54" s="18" t="str">
        <f>IF(B54="person","p_",(IF(B54="organisation","o_",(IF(B54="person/organisation","po_","")))))</f>
        <v>p_</v>
      </c>
      <c r="D54" s="18" t="s">
        <v>260</v>
      </c>
      <c r="E54" s="18" t="str">
        <f>IF(ISBLANK(F54),G54,IF(ISBLANK(M54),_xlfn.CONCAT($J$1,C54,G54,$J$1,": ",,$J$1,D54,$J$1,IF(LEFT(E55,1)="}","",",")),_xlfn.CONCAT($J$1,C54,G54,$J$1,": ",,,D54,,IF(LEFT(E55,1)="}","",","))))</f>
        <v>"p_Geburtsdatum": "2012-04-21T18:25:43-05:00",</v>
      </c>
      <c r="F54" s="43" t="s">
        <v>82</v>
      </c>
      <c r="G54" s="14" t="s">
        <v>261</v>
      </c>
      <c r="H54" s="14" t="s">
        <v>262</v>
      </c>
      <c r="I54" s="14" t="s">
        <v>263</v>
      </c>
      <c r="J54" s="14" t="s">
        <v>264</v>
      </c>
      <c r="K54" s="14">
        <v>8</v>
      </c>
      <c r="L54" s="14"/>
      <c r="N54" t="s">
        <v>96</v>
      </c>
      <c r="O54" t="s">
        <v>265</v>
      </c>
    </row>
    <row r="55" spans="1:16">
      <c r="A55" s="44">
        <v>53</v>
      </c>
      <c r="B55" s="18" t="s">
        <v>146</v>
      </c>
      <c r="C55" s="18" t="str">
        <f>IF(B55="person","p_",(IF(B55="organisation","o_",(IF(B55="person/organisation","po_","")))))</f>
        <v>o_</v>
      </c>
      <c r="D55" s="18" t="s">
        <v>260</v>
      </c>
      <c r="E55" s="49" t="str">
        <f>IF(ISBLANK(F55),G55,IF(ISBLANK(M55),_xlfn.CONCAT($J$1,C55,G55,$J$1,": ",,$J$1,D55,$J$1,IF(LEFT(E56,1)="}","",",")),_xlfn.CONCAT($J$1,C55,G55,$J$1,": ",,,D55,,IF(LEFT(E56,1)="}","",","))))</f>
        <v>"o_Gruendungsdatum": "2012-04-21T18:25:43-05:00",</v>
      </c>
      <c r="F55" s="4" t="s">
        <v>76</v>
      </c>
      <c r="G55" s="14" t="s">
        <v>266</v>
      </c>
      <c r="H55" s="14" t="s">
        <v>267</v>
      </c>
      <c r="I55" s="14"/>
      <c r="J55" s="14" t="s">
        <v>264</v>
      </c>
      <c r="K55" s="14">
        <v>8</v>
      </c>
      <c r="N55" t="s">
        <v>96</v>
      </c>
      <c r="O55" t="s">
        <v>268</v>
      </c>
    </row>
    <row r="56" spans="1:16" s="34" customFormat="1">
      <c r="A56" s="44">
        <v>54</v>
      </c>
      <c r="B56" s="37" t="s">
        <v>146</v>
      </c>
      <c r="C56" s="37" t="str">
        <f>IF(B56="person","p_",(IF(B56="organisation","o_",(IF(B56="person/organisation","po_","")))))</f>
        <v>o_</v>
      </c>
      <c r="D56" s="37" t="s">
        <v>239</v>
      </c>
      <c r="E56" s="37" t="str">
        <f>IF(ISBLANK(F56),G56,IF(ISBLANK(M56),_xlfn.CONCAT($J$1,C56,G56,$J$1,": ",,$J$1,D56,$J$1,IF(LEFT(E57,1)="}","",",")),_xlfn.CONCAT($J$1,C56,G56,$J$1,": ",,,D56,,IF(LEFT(E57,1)="}","",","))))</f>
        <v>"o_Branche": "xxx",</v>
      </c>
      <c r="F56" s="38" t="s">
        <v>76</v>
      </c>
      <c r="G56" s="14" t="s">
        <v>269</v>
      </c>
      <c r="H56" s="14" t="s">
        <v>270</v>
      </c>
      <c r="I56" s="14"/>
      <c r="J56" s="14" t="s">
        <v>79</v>
      </c>
      <c r="K56" s="14">
        <v>10</v>
      </c>
      <c r="L56" s="38"/>
      <c r="N56" s="34" t="s">
        <v>271</v>
      </c>
      <c r="P56" s="62" t="s">
        <v>272</v>
      </c>
    </row>
    <row r="57" spans="1:16">
      <c r="A57" s="44">
        <v>55</v>
      </c>
      <c r="B57" s="18" t="s">
        <v>146</v>
      </c>
      <c r="C57" s="18" t="str">
        <f>IF(B57="person","p_",(IF(B57="organisation","o_",(IF(B57="person/organisation","po_","")))))</f>
        <v>o_</v>
      </c>
      <c r="D57" s="18" t="s">
        <v>273</v>
      </c>
      <c r="E57" s="18" t="str">
        <f>IF(ISBLANK(F57),G57,IF(ISBLANK(M57),_xlfn.CONCAT($J$1,C57,G57,$J$1,": ",,$J$1,D57,$J$1,IF(LEFT(E58,1)="}","",",")),_xlfn.CONCAT($J$1,C57,G57,$J$1,": ",,,D57,,IF(LEFT(E58,1)="}","",","))))</f>
        <v>"o_Branchensystem": "Z001"</v>
      </c>
      <c r="F57" s="4" t="s">
        <v>76</v>
      </c>
      <c r="G57" s="14" t="s">
        <v>274</v>
      </c>
      <c r="H57" s="14" t="s">
        <v>275</v>
      </c>
      <c r="I57" s="14"/>
      <c r="J57" s="14" t="s">
        <v>79</v>
      </c>
      <c r="K57" s="14">
        <v>4</v>
      </c>
      <c r="N57" t="s">
        <v>276</v>
      </c>
      <c r="P57" t="s">
        <v>277</v>
      </c>
    </row>
    <row r="58" spans="1:16" s="30" customFormat="1">
      <c r="A58" s="44">
        <v>56</v>
      </c>
      <c r="B58" s="24"/>
      <c r="C58" s="24" t="str">
        <f>IF(B58="person","p_",(IF(B58="organisation","o_",(IF(B58="person/organisation","po_","")))))</f>
        <v/>
      </c>
      <c r="D58" s="24"/>
      <c r="E58" s="24" t="str">
        <f>IF(ISBLANK(F58),G58,IF(ISBLANK(M58),_xlfn.CONCAT($J$1,C58,G58,$J$1,": ",,$J$1,D58,$J$1,IF(LEFT(E59,1)="}","",",")),_xlfn.CONCAT($J$1,C58,G58,$J$1,": ",,,D58,,IF(LEFT(E59,1)="}","",","))))</f>
        <v>},</v>
      </c>
      <c r="F58" s="27"/>
      <c r="G58" s="24" t="s">
        <v>118</v>
      </c>
      <c r="H58" s="29"/>
      <c r="I58" s="29"/>
      <c r="J58" s="29"/>
      <c r="K58" s="29"/>
      <c r="L58" s="29"/>
    </row>
    <row r="59" spans="1:16" s="30" customFormat="1">
      <c r="A59" s="44">
        <v>57</v>
      </c>
      <c r="B59" s="24"/>
      <c r="C59" s="24" t="str">
        <f>IF(B59="person","p_",(IF(B59="organisation","o_",(IF(B59="person/organisation","po_","")))))</f>
        <v/>
      </c>
      <c r="D59" s="24"/>
      <c r="E59" s="24" t="str">
        <f>IF(ISBLANK(F59),G59,IF(ISBLANK(M59),_xlfn.CONCAT($J$1,C59,G59,$J$1,": ",,$J$1,D59,$J$1,IF(LEFT(E61,1)="}","",",")),_xlfn.CONCAT($J$1,C59,G59,$J$1,": ",,,D59,,IF(LEFT(E61,1)="}","",","))))</f>
        <v>"Bank": {</v>
      </c>
      <c r="F59" s="27"/>
      <c r="G59" s="24" t="s">
        <v>278</v>
      </c>
      <c r="H59" s="29"/>
      <c r="I59" s="29"/>
      <c r="J59" s="29"/>
      <c r="K59" s="29"/>
      <c r="L59" s="29"/>
    </row>
    <row r="60" spans="1:16" ht="30.75">
      <c r="A60" s="44">
        <v>58</v>
      </c>
      <c r="B60" s="18" t="s">
        <v>74</v>
      </c>
      <c r="C60" s="18"/>
      <c r="D60" s="61" t="s">
        <v>279</v>
      </c>
      <c r="E60" s="49" t="str">
        <f>IF(ISBLANK(F60),G60,IF(ISBLANK(M60),_xlfn.CONCAT($J$1,C60,G60,$J$1,": ",,$J$1,D60,$J$1,IF(LEFT(E61,1)="}","",",")),_xlfn.CONCAT($J$1,C60,G60,$J$1,": ",,,D60,,IF(LEFT(E61,1)="}","",","))))</f>
        <v>"BankkontoID": "0003",</v>
      </c>
      <c r="F60" s="4" t="s">
        <v>76</v>
      </c>
      <c r="G60" s="18" t="s">
        <v>280</v>
      </c>
      <c r="H60" s="14" t="s">
        <v>281</v>
      </c>
      <c r="I60" s="14" t="s">
        <v>282</v>
      </c>
      <c r="J60" s="14" t="s">
        <v>79</v>
      </c>
      <c r="K60" s="14">
        <v>4</v>
      </c>
      <c r="L60" s="14"/>
      <c r="N60" s="52"/>
      <c r="O60" s="52" t="s">
        <v>283</v>
      </c>
      <c r="P60" s="59" t="s">
        <v>284</v>
      </c>
    </row>
    <row r="61" spans="1:16" s="67" customFormat="1">
      <c r="A61" s="44">
        <v>59</v>
      </c>
      <c r="B61" s="64" t="s">
        <v>74</v>
      </c>
      <c r="C61" s="64" t="str">
        <f>IF(B61="person","p_",(IF(B61="organisation","o_",(IF(B61="person/organisation","po_","")))))</f>
        <v>po_</v>
      </c>
      <c r="D61" s="64" t="s">
        <v>239</v>
      </c>
      <c r="E61" s="64" t="str">
        <f>IF(ISBLANK(F61),G61,IF(ISBLANK(M61),_xlfn.CONCAT($J$1,C61,G61,$J$1,": ",,$J$1,D61,$J$1,IF(LEFT(E62,1)="}","",",")),_xlfn.CONCAT($J$1,C61,G61,$J$1,": ",,,D61,,IF(LEFT(E62,1)="}","",","))))</f>
        <v>"po_UebertragungsartRechnung": "xxx",</v>
      </c>
      <c r="F61" s="65" t="s">
        <v>76</v>
      </c>
      <c r="G61" s="66" t="s">
        <v>285</v>
      </c>
      <c r="H61" s="57" t="s">
        <v>286</v>
      </c>
      <c r="I61" s="57"/>
      <c r="J61" s="57" t="s">
        <v>79</v>
      </c>
      <c r="K61" s="57">
        <v>5</v>
      </c>
      <c r="L61" s="65"/>
      <c r="P61" s="51" t="s">
        <v>287</v>
      </c>
    </row>
    <row r="62" spans="1:16" s="67" customFormat="1">
      <c r="A62" s="44">
        <v>60</v>
      </c>
      <c r="B62" s="64" t="s">
        <v>74</v>
      </c>
      <c r="C62" s="64" t="str">
        <f>IF(B62="person","p_",(IF(B62="organisation","o_",(IF(B62="person/organisation","po_","")))))</f>
        <v>po_</v>
      </c>
      <c r="D62" s="64" t="s">
        <v>239</v>
      </c>
      <c r="E62" s="64" t="str">
        <f>IF(ISBLANK(F62),G62,IF(ISBLANK(M62),_xlfn.CONCAT($J$1,C62,G62,$J$1,": ",,$J$1,D62,$J$1,IF(LEFT(E67,1)="}","",",")),_xlfn.CONCAT($J$1,C62,G62,$J$1,": ",,,D62,,IF(LEFT(E67,1)="}","",","))))</f>
        <v>"po_UebertragungsformatRechnung": "xxx",</v>
      </c>
      <c r="F62" s="65" t="s">
        <v>76</v>
      </c>
      <c r="G62" s="66" t="s">
        <v>288</v>
      </c>
      <c r="H62" s="57" t="s">
        <v>289</v>
      </c>
      <c r="I62" s="57"/>
      <c r="J62" s="57" t="s">
        <v>79</v>
      </c>
      <c r="K62" s="57">
        <v>10</v>
      </c>
      <c r="L62" s="65"/>
      <c r="P62" s="51" t="s">
        <v>290</v>
      </c>
    </row>
    <row r="63" spans="1:16">
      <c r="A63" s="44">
        <v>61</v>
      </c>
      <c r="B63" s="18" t="s">
        <v>74</v>
      </c>
      <c r="C63" s="18" t="str">
        <f>IF(B63="person","p_",(IF(B63="organisation","o_",(IF(B63="person/organisation","po_","")))))</f>
        <v>po_</v>
      </c>
      <c r="D63" s="18" t="s">
        <v>200</v>
      </c>
      <c r="E63" s="18"/>
      <c r="G63" s="17" t="s">
        <v>291</v>
      </c>
      <c r="H63" s="14" t="s">
        <v>292</v>
      </c>
      <c r="I63" s="14" t="s">
        <v>293</v>
      </c>
      <c r="J63" s="14" t="s">
        <v>79</v>
      </c>
      <c r="K63" s="14">
        <v>3</v>
      </c>
      <c r="L63" s="18" t="s">
        <v>294</v>
      </c>
      <c r="P63" s="51" t="s">
        <v>295</v>
      </c>
    </row>
    <row r="64" spans="1:16" ht="152.25">
      <c r="A64" s="44">
        <v>62</v>
      </c>
      <c r="B64" s="18" t="s">
        <v>74</v>
      </c>
      <c r="C64" s="18" t="str">
        <f>IF(B64="person","p_",(IF(B64="organisation","o_",(IF(B64="person/organisation","po_","")))))</f>
        <v>po_</v>
      </c>
      <c r="D64" s="18">
        <v>33027</v>
      </c>
      <c r="E64" s="18"/>
      <c r="G64" s="17" t="s">
        <v>296</v>
      </c>
      <c r="H64" s="14" t="s">
        <v>297</v>
      </c>
      <c r="I64" s="14" t="s">
        <v>298</v>
      </c>
      <c r="J64" s="14" t="s">
        <v>79</v>
      </c>
      <c r="K64" s="14">
        <v>15</v>
      </c>
      <c r="P64" s="59" t="s">
        <v>299</v>
      </c>
    </row>
    <row r="65" spans="1:16">
      <c r="A65" s="44">
        <v>63</v>
      </c>
      <c r="B65" s="18" t="s">
        <v>74</v>
      </c>
      <c r="C65" s="18" t="str">
        <f>IF(B65="person","p_",(IF(B65="organisation","o_",(IF(B65="person/organisation","po_","")))))</f>
        <v>po_</v>
      </c>
      <c r="D65" s="18" t="s">
        <v>300</v>
      </c>
      <c r="E65" s="18"/>
      <c r="F65" s="4" t="s">
        <v>76</v>
      </c>
      <c r="G65" s="14" t="s">
        <v>301</v>
      </c>
      <c r="H65" s="14" t="s">
        <v>302</v>
      </c>
      <c r="I65" s="14" t="s">
        <v>303</v>
      </c>
      <c r="J65" s="14" t="s">
        <v>79</v>
      </c>
      <c r="K65" s="14">
        <v>60</v>
      </c>
      <c r="P65" s="51"/>
    </row>
    <row r="66" spans="1:16">
      <c r="A66" s="44">
        <v>64</v>
      </c>
      <c r="B66" s="18" t="s">
        <v>74</v>
      </c>
      <c r="C66" s="18" t="str">
        <f>IF(B66="person","p_",(IF(B66="organisation","o_",(IF(B66="person/organisation","po_","")))))</f>
        <v>po_</v>
      </c>
      <c r="D66" s="18" t="s">
        <v>304</v>
      </c>
      <c r="E66" s="18"/>
      <c r="G66" s="14" t="s">
        <v>305</v>
      </c>
      <c r="H66" s="14" t="s">
        <v>306</v>
      </c>
      <c r="I66" s="14" t="s">
        <v>307</v>
      </c>
      <c r="J66" s="14" t="s">
        <v>79</v>
      </c>
      <c r="K66" s="14">
        <v>40</v>
      </c>
      <c r="P66" s="51"/>
    </row>
    <row r="67" spans="1:16">
      <c r="A67" s="44">
        <v>65</v>
      </c>
      <c r="B67" s="18" t="s">
        <v>74</v>
      </c>
      <c r="C67" s="18" t="str">
        <f>IF(B67="person","p_",(IF(B67="organisation","o_",(IF(B67="person/organisation","po_","")))))</f>
        <v>po_</v>
      </c>
      <c r="D67" s="18" t="s">
        <v>260</v>
      </c>
      <c r="E67" s="18"/>
      <c r="F67" s="4" t="s">
        <v>76</v>
      </c>
      <c r="G67" s="14" t="s">
        <v>308</v>
      </c>
      <c r="H67" s="14" t="s">
        <v>309</v>
      </c>
      <c r="I67" s="14" t="s">
        <v>310</v>
      </c>
      <c r="J67" s="14" t="s">
        <v>79</v>
      </c>
      <c r="K67" s="14">
        <v>10</v>
      </c>
      <c r="P67" s="51" t="s">
        <v>311</v>
      </c>
    </row>
    <row r="68" spans="1:16">
      <c r="A68" s="44">
        <v>66</v>
      </c>
      <c r="B68" s="18" t="s">
        <v>74</v>
      </c>
      <c r="C68" s="18" t="str">
        <f>IF(B68="person","p_",(IF(B68="organisation","o_",(IF(B68="person/organisation","po_","")))))</f>
        <v>po_</v>
      </c>
      <c r="D68" s="18" t="s">
        <v>260</v>
      </c>
      <c r="E68" s="18"/>
      <c r="F68" s="4" t="s">
        <v>76</v>
      </c>
      <c r="G68" s="14" t="s">
        <v>312</v>
      </c>
      <c r="H68" s="14" t="s">
        <v>313</v>
      </c>
      <c r="I68" s="14" t="s">
        <v>314</v>
      </c>
      <c r="J68" s="14" t="s">
        <v>79</v>
      </c>
      <c r="K68" s="14">
        <v>10</v>
      </c>
      <c r="P68" s="51" t="s">
        <v>311</v>
      </c>
    </row>
    <row r="69" spans="1:16" s="34" customFormat="1">
      <c r="A69" s="44">
        <v>67</v>
      </c>
      <c r="B69" s="37" t="s">
        <v>74</v>
      </c>
      <c r="C69" s="37" t="str">
        <f>IF(B69="person","p_",(IF(B69="organisation","o_",(IF(B69="person/organisation","po_","")))))</f>
        <v>po_</v>
      </c>
      <c r="D69" s="37" t="s">
        <v>315</v>
      </c>
      <c r="E69" s="37" t="str">
        <f>IF(ISBLANK(F69),G69,IF(ISBLANK(M69),_xlfn.CONCAT($J$1,C69,G69,$J$1,": ",,$J$1,D69,$J$1,IF(LEFT(E65,1)="}","",",")),_xlfn.CONCAT($J$1,C69,G69,$J$1,": ",,,D69,,IF(LEFT(E65,1)="}","",","))))</f>
        <v>"po_IBAN": "AT023302700000XXXXXX",</v>
      </c>
      <c r="F69" s="38" t="s">
        <v>76</v>
      </c>
      <c r="G69" s="14" t="s">
        <v>316</v>
      </c>
      <c r="H69" s="14" t="s">
        <v>317</v>
      </c>
      <c r="I69" s="14" t="s">
        <v>318</v>
      </c>
      <c r="J69" s="14" t="s">
        <v>79</v>
      </c>
      <c r="K69" s="14">
        <v>34</v>
      </c>
      <c r="L69" s="38"/>
      <c r="P69" s="53"/>
    </row>
    <row r="70" spans="1:16" s="34" customFormat="1">
      <c r="A70" s="44">
        <v>68</v>
      </c>
      <c r="B70" s="55" t="s">
        <v>74</v>
      </c>
      <c r="C70" s="55" t="str">
        <f>IF(B70="person","p_",(IF(B70="organisation","o_",(IF(B70="person/organisation","po_","")))))</f>
        <v>po_</v>
      </c>
      <c r="D70" s="55"/>
      <c r="E70" s="60" t="str">
        <f>IF(ISBLANK(F70),G70,IF(ISBLANK(M70),_xlfn.CONCAT($J$1,C70,G70,$J$1,": ",,$J$1,D70,$J$1,IF(LEFT(E71,1)="}","",",")),_xlfn.CONCAT($J$1,C70,G70,$J$1,": ",,,D70,,IF(LEFT(E71,1)="}","",","))))</f>
        <v>"po_BIC": ""</v>
      </c>
      <c r="F70" s="56" t="s">
        <v>76</v>
      </c>
      <c r="G70" s="57" t="s">
        <v>319</v>
      </c>
      <c r="H70" s="58" t="s">
        <v>320</v>
      </c>
      <c r="I70" s="14"/>
      <c r="J70" s="14"/>
      <c r="K70" s="14"/>
      <c r="L70" s="38"/>
      <c r="P70" s="53" t="s">
        <v>321</v>
      </c>
    </row>
    <row r="71" spans="1:16" s="30" customFormat="1">
      <c r="A71" s="44">
        <v>69</v>
      </c>
      <c r="B71" s="27"/>
      <c r="C71" s="27"/>
      <c r="D71" s="27"/>
      <c r="E71" s="24" t="str">
        <f>IF(ISBLANK(F71),G71,IF(ISBLANK(M71),_xlfn.CONCAT($J$1,C71,G71,$J$1,": ",,$J$1,D71,$J$1,IF(LEFT(E72,1)="}","",",")),_xlfn.CONCAT($J$1,C71,G71,$J$1,": ",,,D71,,IF(LEFT(E72,1)="}","",","))))</f>
        <v>}</v>
      </c>
      <c r="F71" s="27"/>
      <c r="G71" s="24" t="s">
        <v>322</v>
      </c>
      <c r="H71" s="27"/>
      <c r="I71" s="27"/>
      <c r="J71" s="27"/>
      <c r="K71" s="27"/>
      <c r="L71" s="27"/>
    </row>
    <row r="72" spans="1:16" s="30" customFormat="1">
      <c r="A72" s="44">
        <v>70</v>
      </c>
      <c r="B72" s="27"/>
      <c r="C72" s="27"/>
      <c r="D72" s="27"/>
      <c r="E72" s="24" t="str">
        <f>IF(ISBLANK(F72),G72,IF(ISBLANK(M72),_xlfn.CONCAT($J$1,C72,G72,$J$1,": ",,$J$1,D72,$J$1,IF(LEFT(E73,1)="}","",",")),_xlfn.CONCAT($J$1,C72,G72,$J$1,": ",,,D72,,IF(LEFT(E73,1)="}","",","))))</f>
        <v>}</v>
      </c>
      <c r="F72" s="27"/>
      <c r="G72" s="24" t="s">
        <v>322</v>
      </c>
      <c r="H72" s="27"/>
      <c r="I72" s="27"/>
      <c r="J72" s="27"/>
      <c r="K72" s="27"/>
      <c r="L72" s="27"/>
    </row>
  </sheetData>
  <autoFilter ref="A2:P72" xr:uid="{02FB0506-52A2-4B73-BFD6-06CFDA61690E}">
    <sortState xmlns:xlrd2="http://schemas.microsoft.com/office/spreadsheetml/2017/richdata2" ref="A3:P72">
      <sortCondition ref="A2:A72"/>
    </sortState>
  </autoFilter>
  <mergeCells count="1">
    <mergeCell ref="A1:G1"/>
  </mergeCells>
  <phoneticPr fontId="7" type="noConversion"/>
  <hyperlinks>
    <hyperlink ref="D44" r:id="rId1" xr:uid="{02CA2C14-FA4C-4826-8794-987ACFD82968}"/>
  </hyperlinks>
  <pageMargins left="0.7" right="0.7" top="0.75" bottom="0.75" header="0.3" footer="0.3"/>
  <pageSetup paperSize="9" orientation="portrait" r:id="rId2"/>
  <headerFooter>
    <oddFooter>&amp;L_x000D_&amp;1#&amp;"Aptos"&amp;10&amp;K000000 TLP:AMBER - vertraulich</oddFooter>
  </headerFooter>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97E3-B937-4D6A-91F4-0463A175DA24}">
  <dimension ref="A1"/>
  <sheetViews>
    <sheetView workbookViewId="0">
      <selection activeCell="G21" sqref="G21"/>
    </sheetView>
  </sheetViews>
  <sheetFormatPr defaultColWidth="8.85546875" defaultRowHeight="15"/>
  <cols>
    <col min="1" max="1" width="51" customWidth="1"/>
  </cols>
  <sheetData>
    <row r="1" spans="1:1" ht="41.25">
      <c r="A1" s="50" t="s">
        <v>323</v>
      </c>
    </row>
  </sheetData>
  <pageMargins left="0.7" right="0.7" top="0.75" bottom="0.75" header="0.3" footer="0.3"/>
  <headerFooter>
    <oddFooter>&amp;L_x000D_&amp;1#&amp;"Aptos"&amp;10&amp;K000000 TLP:AMBER - vertraulich</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85AF4-68F4-4291-9F70-7CDE9450F6A3}">
  <dimension ref="A1:E199"/>
  <sheetViews>
    <sheetView zoomScale="85" zoomScaleNormal="85" workbookViewId="0">
      <pane ySplit="2" topLeftCell="A167" activePane="bottomLeft" state="frozen"/>
      <selection pane="bottomLeft" activeCell="E193" sqref="E193"/>
    </sheetView>
  </sheetViews>
  <sheetFormatPr defaultColWidth="8.85546875" defaultRowHeight="15"/>
  <cols>
    <col min="1" max="1" width="43.140625" customWidth="1"/>
    <col min="2" max="2" width="38.85546875" customWidth="1"/>
    <col min="3" max="3" width="51.140625" customWidth="1"/>
    <col min="4" max="4" width="44.7109375" customWidth="1"/>
    <col min="5" max="5" width="136.28515625" customWidth="1"/>
  </cols>
  <sheetData>
    <row r="1" spans="1:5" ht="24" customHeight="1">
      <c r="C1" s="107"/>
      <c r="D1" s="107"/>
    </row>
    <row r="2" spans="1:5">
      <c r="A2" s="6" t="s">
        <v>324</v>
      </c>
      <c r="B2" s="6" t="s">
        <v>325</v>
      </c>
      <c r="C2" s="6" t="s">
        <v>326</v>
      </c>
      <c r="D2" s="6" t="s">
        <v>327</v>
      </c>
      <c r="E2" s="6" t="s">
        <v>328</v>
      </c>
    </row>
    <row r="3" spans="1:5">
      <c r="A3" t="s">
        <v>88</v>
      </c>
      <c r="B3" t="s">
        <v>329</v>
      </c>
      <c r="C3" t="s">
        <v>330</v>
      </c>
      <c r="D3" s="16" t="s">
        <v>331</v>
      </c>
    </row>
    <row r="4" spans="1:5">
      <c r="A4" t="s">
        <v>88</v>
      </c>
      <c r="B4" t="s">
        <v>332</v>
      </c>
      <c r="C4" t="s">
        <v>330</v>
      </c>
      <c r="D4" s="16" t="s">
        <v>333</v>
      </c>
    </row>
    <row r="5" spans="1:5">
      <c r="A5" t="s">
        <v>102</v>
      </c>
      <c r="B5" t="s">
        <v>334</v>
      </c>
      <c r="C5" s="14" t="s">
        <v>335</v>
      </c>
      <c r="D5" s="15" t="s">
        <v>336</v>
      </c>
    </row>
    <row r="6" spans="1:5">
      <c r="A6" t="s">
        <v>102</v>
      </c>
      <c r="B6" t="s">
        <v>337</v>
      </c>
      <c r="C6" s="14" t="s">
        <v>335</v>
      </c>
      <c r="D6" s="15" t="s">
        <v>338</v>
      </c>
    </row>
    <row r="7" spans="1:5">
      <c r="A7" t="s">
        <v>102</v>
      </c>
      <c r="B7" t="s">
        <v>339</v>
      </c>
      <c r="C7" s="14" t="s">
        <v>335</v>
      </c>
      <c r="D7" s="15" t="s">
        <v>340</v>
      </c>
    </row>
    <row r="8" spans="1:5">
      <c r="A8" t="s">
        <v>102</v>
      </c>
      <c r="B8" t="s">
        <v>98</v>
      </c>
      <c r="C8" s="14" t="s">
        <v>335</v>
      </c>
      <c r="D8" s="15" t="s">
        <v>341</v>
      </c>
    </row>
    <row r="9" spans="1:5">
      <c r="A9" t="s">
        <v>102</v>
      </c>
      <c r="B9" t="s">
        <v>342</v>
      </c>
      <c r="C9" s="14" t="s">
        <v>335</v>
      </c>
      <c r="D9" s="15" t="s">
        <v>343</v>
      </c>
    </row>
    <row r="10" spans="1:5">
      <c r="A10" t="s">
        <v>102</v>
      </c>
      <c r="B10" t="s">
        <v>344</v>
      </c>
      <c r="C10" s="14" t="s">
        <v>335</v>
      </c>
      <c r="D10" s="15" t="s">
        <v>345</v>
      </c>
    </row>
    <row r="11" spans="1:5">
      <c r="A11" t="s">
        <v>102</v>
      </c>
      <c r="B11" t="s">
        <v>346</v>
      </c>
      <c r="C11" s="14" t="s">
        <v>335</v>
      </c>
      <c r="D11" s="15" t="s">
        <v>347</v>
      </c>
    </row>
    <row r="12" spans="1:5">
      <c r="A12" t="s">
        <v>102</v>
      </c>
      <c r="B12" t="s">
        <v>348</v>
      </c>
      <c r="C12" s="14" t="s">
        <v>335</v>
      </c>
      <c r="D12" s="15" t="s">
        <v>349</v>
      </c>
    </row>
    <row r="13" spans="1:5">
      <c r="A13" t="s">
        <v>102</v>
      </c>
      <c r="B13" t="s">
        <v>350</v>
      </c>
      <c r="C13" s="14" t="s">
        <v>335</v>
      </c>
      <c r="D13" s="15" t="s">
        <v>351</v>
      </c>
    </row>
    <row r="14" spans="1:5">
      <c r="A14" t="s">
        <v>102</v>
      </c>
      <c r="B14" t="s">
        <v>352</v>
      </c>
      <c r="C14" s="14" t="s">
        <v>335</v>
      </c>
      <c r="D14" s="15" t="s">
        <v>353</v>
      </c>
    </row>
    <row r="15" spans="1:5">
      <c r="A15" t="s">
        <v>102</v>
      </c>
      <c r="B15" t="s">
        <v>354</v>
      </c>
      <c r="C15" s="14" t="s">
        <v>335</v>
      </c>
      <c r="D15" s="15" t="s">
        <v>355</v>
      </c>
    </row>
    <row r="16" spans="1:5">
      <c r="A16" t="s">
        <v>102</v>
      </c>
      <c r="B16" t="s">
        <v>356</v>
      </c>
      <c r="C16" s="14" t="s">
        <v>335</v>
      </c>
      <c r="D16" s="15" t="s">
        <v>357</v>
      </c>
    </row>
    <row r="17" spans="1:5">
      <c r="A17" t="s">
        <v>358</v>
      </c>
      <c r="B17" s="15" t="s">
        <v>359</v>
      </c>
      <c r="C17" s="14" t="s">
        <v>104</v>
      </c>
      <c r="D17" s="15" t="s">
        <v>359</v>
      </c>
      <c r="E17" s="20" t="s">
        <v>360</v>
      </c>
    </row>
    <row r="18" spans="1:5">
      <c r="A18" t="s">
        <v>358</v>
      </c>
      <c r="B18" s="15" t="s">
        <v>361</v>
      </c>
      <c r="C18" s="14" t="s">
        <v>104</v>
      </c>
      <c r="D18" s="15" t="s">
        <v>361</v>
      </c>
    </row>
    <row r="19" spans="1:5">
      <c r="A19" t="s">
        <v>123</v>
      </c>
      <c r="B19" t="s">
        <v>362</v>
      </c>
      <c r="C19" s="14" t="s">
        <v>121</v>
      </c>
      <c r="D19" s="15" t="s">
        <v>363</v>
      </c>
    </row>
    <row r="20" spans="1:5">
      <c r="A20" t="s">
        <v>123</v>
      </c>
      <c r="B20" t="s">
        <v>120</v>
      </c>
      <c r="C20" s="14" t="s">
        <v>121</v>
      </c>
      <c r="D20" s="15" t="s">
        <v>364</v>
      </c>
    </row>
    <row r="21" spans="1:5">
      <c r="A21" t="s">
        <v>123</v>
      </c>
      <c r="B21" t="s">
        <v>365</v>
      </c>
      <c r="C21" s="14" t="s">
        <v>121</v>
      </c>
      <c r="D21" s="15" t="s">
        <v>366</v>
      </c>
    </row>
    <row r="22" spans="1:5">
      <c r="A22" t="s">
        <v>123</v>
      </c>
      <c r="B22" t="s">
        <v>367</v>
      </c>
      <c r="C22" s="14" t="s">
        <v>121</v>
      </c>
      <c r="D22" s="14" t="s">
        <v>368</v>
      </c>
    </row>
    <row r="23" spans="1:5">
      <c r="A23" s="51" t="s">
        <v>123</v>
      </c>
      <c r="B23" s="51" t="s">
        <v>369</v>
      </c>
      <c r="C23" s="81" t="s">
        <v>369</v>
      </c>
      <c r="D23" s="81" t="s">
        <v>370</v>
      </c>
    </row>
    <row r="24" spans="1:5">
      <c r="A24" t="s">
        <v>371</v>
      </c>
      <c r="B24" t="s">
        <v>372</v>
      </c>
      <c r="C24" s="14" t="s">
        <v>373</v>
      </c>
      <c r="D24" s="22" t="s">
        <v>374</v>
      </c>
      <c r="E24" s="20" t="s">
        <v>375</v>
      </c>
    </row>
    <row r="25" spans="1:5">
      <c r="A25" t="s">
        <v>371</v>
      </c>
      <c r="B25" t="s">
        <v>376</v>
      </c>
      <c r="C25" s="14" t="s">
        <v>373</v>
      </c>
      <c r="D25" s="22" t="s">
        <v>374</v>
      </c>
      <c r="E25" s="20" t="s">
        <v>375</v>
      </c>
    </row>
    <row r="26" spans="1:5">
      <c r="A26" t="s">
        <v>371</v>
      </c>
      <c r="B26" t="s">
        <v>377</v>
      </c>
      <c r="C26" s="14" t="s">
        <v>373</v>
      </c>
      <c r="D26" s="22" t="s">
        <v>374</v>
      </c>
      <c r="E26" s="20" t="s">
        <v>375</v>
      </c>
    </row>
    <row r="27" spans="1:5">
      <c r="A27" t="s">
        <v>371</v>
      </c>
      <c r="B27" t="s">
        <v>378</v>
      </c>
      <c r="C27" s="14" t="s">
        <v>373</v>
      </c>
      <c r="D27" s="22" t="s">
        <v>374</v>
      </c>
      <c r="E27" s="20" t="s">
        <v>375</v>
      </c>
    </row>
    <row r="28" spans="1:5">
      <c r="A28" t="s">
        <v>371</v>
      </c>
      <c r="B28" t="s">
        <v>379</v>
      </c>
      <c r="C28" s="14" t="s">
        <v>373</v>
      </c>
      <c r="D28" s="22" t="s">
        <v>374</v>
      </c>
      <c r="E28" s="20" t="s">
        <v>375</v>
      </c>
    </row>
    <row r="29" spans="1:5">
      <c r="A29" t="s">
        <v>371</v>
      </c>
      <c r="C29" s="14" t="s">
        <v>373</v>
      </c>
      <c r="D29" s="15" t="s">
        <v>380</v>
      </c>
      <c r="E29" s="20" t="s">
        <v>375</v>
      </c>
    </row>
    <row r="30" spans="1:5">
      <c r="A30" t="s">
        <v>371</v>
      </c>
      <c r="C30" s="14" t="s">
        <v>373</v>
      </c>
      <c r="D30" s="15" t="s">
        <v>381</v>
      </c>
      <c r="E30" s="20" t="s">
        <v>375</v>
      </c>
    </row>
    <row r="31" spans="1:5">
      <c r="A31" t="s">
        <v>371</v>
      </c>
      <c r="C31" s="14" t="s">
        <v>373</v>
      </c>
      <c r="D31" s="15" t="s">
        <v>382</v>
      </c>
      <c r="E31" s="20" t="s">
        <v>375</v>
      </c>
    </row>
    <row r="32" spans="1:5">
      <c r="A32" t="s">
        <v>371</v>
      </c>
      <c r="C32" s="14" t="s">
        <v>373</v>
      </c>
      <c r="D32" s="15" t="s">
        <v>383</v>
      </c>
      <c r="E32" s="20" t="s">
        <v>375</v>
      </c>
    </row>
    <row r="33" spans="1:5">
      <c r="A33" t="s">
        <v>371</v>
      </c>
      <c r="C33" s="14" t="s">
        <v>373</v>
      </c>
      <c r="D33" s="15" t="s">
        <v>384</v>
      </c>
      <c r="E33" s="20" t="s">
        <v>375</v>
      </c>
    </row>
    <row r="34" spans="1:5">
      <c r="A34" t="s">
        <v>371</v>
      </c>
      <c r="C34" s="14" t="s">
        <v>373</v>
      </c>
      <c r="D34" s="15" t="s">
        <v>385</v>
      </c>
      <c r="E34" s="20" t="s">
        <v>375</v>
      </c>
    </row>
    <row r="35" spans="1:5">
      <c r="A35" t="s">
        <v>371</v>
      </c>
      <c r="C35" s="14" t="s">
        <v>373</v>
      </c>
      <c r="D35" s="15" t="s">
        <v>386</v>
      </c>
      <c r="E35" s="20" t="s">
        <v>375</v>
      </c>
    </row>
    <row r="36" spans="1:5">
      <c r="A36" t="s">
        <v>371</v>
      </c>
      <c r="C36" s="14" t="s">
        <v>373</v>
      </c>
      <c r="D36" s="15" t="s">
        <v>387</v>
      </c>
      <c r="E36" s="20" t="s">
        <v>375</v>
      </c>
    </row>
    <row r="37" spans="1:5">
      <c r="A37" t="s">
        <v>371</v>
      </c>
      <c r="C37" s="14" t="s">
        <v>373</v>
      </c>
      <c r="D37" s="15" t="s">
        <v>388</v>
      </c>
      <c r="E37" s="20" t="s">
        <v>375</v>
      </c>
    </row>
    <row r="38" spans="1:5">
      <c r="A38" t="s">
        <v>371</v>
      </c>
      <c r="C38" s="14" t="s">
        <v>373</v>
      </c>
      <c r="D38" s="15" t="s">
        <v>389</v>
      </c>
      <c r="E38" s="20" t="s">
        <v>375</v>
      </c>
    </row>
    <row r="39" spans="1:5">
      <c r="A39" t="s">
        <v>371</v>
      </c>
      <c r="B39" t="s">
        <v>390</v>
      </c>
      <c r="C39" s="14" t="s">
        <v>373</v>
      </c>
      <c r="D39" s="15" t="s">
        <v>391</v>
      </c>
      <c r="E39" s="20" t="s">
        <v>375</v>
      </c>
    </row>
    <row r="40" spans="1:5">
      <c r="A40" t="s">
        <v>371</v>
      </c>
      <c r="C40" s="14" t="s">
        <v>373</v>
      </c>
      <c r="D40" s="15" t="s">
        <v>392</v>
      </c>
      <c r="E40" s="20" t="s">
        <v>375</v>
      </c>
    </row>
    <row r="41" spans="1:5">
      <c r="A41" t="s">
        <v>371</v>
      </c>
      <c r="C41" s="14" t="s">
        <v>373</v>
      </c>
      <c r="D41" s="15" t="s">
        <v>393</v>
      </c>
      <c r="E41" s="20" t="s">
        <v>375</v>
      </c>
    </row>
    <row r="42" spans="1:5">
      <c r="A42" t="s">
        <v>371</v>
      </c>
      <c r="C42" s="14" t="s">
        <v>373</v>
      </c>
      <c r="D42" s="15" t="s">
        <v>394</v>
      </c>
      <c r="E42" s="20" t="s">
        <v>375</v>
      </c>
    </row>
    <row r="43" spans="1:5">
      <c r="A43" t="s">
        <v>371</v>
      </c>
      <c r="C43" s="14" t="s">
        <v>373</v>
      </c>
      <c r="D43" s="15" t="s">
        <v>395</v>
      </c>
      <c r="E43" s="20" t="s">
        <v>375</v>
      </c>
    </row>
    <row r="44" spans="1:5">
      <c r="A44" t="s">
        <v>371</v>
      </c>
      <c r="C44" s="14" t="s">
        <v>373</v>
      </c>
      <c r="D44" s="15" t="s">
        <v>396</v>
      </c>
      <c r="E44" s="20" t="s">
        <v>375</v>
      </c>
    </row>
    <row r="45" spans="1:5">
      <c r="A45" t="s">
        <v>371</v>
      </c>
      <c r="C45" s="14" t="s">
        <v>373</v>
      </c>
      <c r="D45" s="15" t="s">
        <v>397</v>
      </c>
      <c r="E45" s="20" t="s">
        <v>375</v>
      </c>
    </row>
    <row r="46" spans="1:5">
      <c r="A46" t="s">
        <v>371</v>
      </c>
      <c r="C46" s="14" t="s">
        <v>373</v>
      </c>
      <c r="D46" s="15" t="s">
        <v>398</v>
      </c>
      <c r="E46" s="20" t="s">
        <v>375</v>
      </c>
    </row>
    <row r="47" spans="1:5">
      <c r="A47" t="s">
        <v>371</v>
      </c>
      <c r="C47" s="14" t="s">
        <v>373</v>
      </c>
      <c r="D47" s="15" t="s">
        <v>399</v>
      </c>
      <c r="E47" s="20" t="s">
        <v>375</v>
      </c>
    </row>
    <row r="48" spans="1:5">
      <c r="A48" t="s">
        <v>371</v>
      </c>
      <c r="C48" s="14" t="s">
        <v>373</v>
      </c>
      <c r="D48" s="15" t="s">
        <v>400</v>
      </c>
      <c r="E48" s="20" t="s">
        <v>375</v>
      </c>
    </row>
    <row r="49" spans="1:5">
      <c r="A49" t="s">
        <v>371</v>
      </c>
      <c r="C49" s="14" t="s">
        <v>373</v>
      </c>
      <c r="D49" s="15" t="s">
        <v>401</v>
      </c>
      <c r="E49" s="20" t="s">
        <v>375</v>
      </c>
    </row>
    <row r="50" spans="1:5">
      <c r="A50" t="s">
        <v>371</v>
      </c>
      <c r="C50" s="14" t="s">
        <v>373</v>
      </c>
      <c r="D50" s="15" t="s">
        <v>402</v>
      </c>
      <c r="E50" s="20" t="s">
        <v>375</v>
      </c>
    </row>
    <row r="51" spans="1:5">
      <c r="A51" t="s">
        <v>371</v>
      </c>
      <c r="C51" s="14" t="s">
        <v>373</v>
      </c>
      <c r="D51" s="15" t="s">
        <v>403</v>
      </c>
      <c r="E51" s="20" t="s">
        <v>375</v>
      </c>
    </row>
    <row r="52" spans="1:5">
      <c r="A52" t="s">
        <v>371</v>
      </c>
      <c r="C52" s="14" t="s">
        <v>373</v>
      </c>
      <c r="D52" s="15" t="s">
        <v>404</v>
      </c>
      <c r="E52" s="20" t="s">
        <v>375</v>
      </c>
    </row>
    <row r="53" spans="1:5">
      <c r="A53" t="s">
        <v>371</v>
      </c>
      <c r="C53" s="14" t="s">
        <v>373</v>
      </c>
      <c r="D53" s="15" t="s">
        <v>405</v>
      </c>
      <c r="E53" s="20" t="s">
        <v>375</v>
      </c>
    </row>
    <row r="54" spans="1:5">
      <c r="A54" t="s">
        <v>371</v>
      </c>
      <c r="C54" s="14" t="s">
        <v>373</v>
      </c>
      <c r="D54" s="15" t="s">
        <v>406</v>
      </c>
      <c r="E54" s="20" t="s">
        <v>375</v>
      </c>
    </row>
    <row r="55" spans="1:5">
      <c r="A55" t="s">
        <v>371</v>
      </c>
      <c r="C55" s="14" t="s">
        <v>373</v>
      </c>
      <c r="D55" s="15" t="s">
        <v>407</v>
      </c>
      <c r="E55" s="20" t="s">
        <v>375</v>
      </c>
    </row>
    <row r="56" spans="1:5">
      <c r="A56" t="s">
        <v>371</v>
      </c>
      <c r="C56" s="14" t="s">
        <v>373</v>
      </c>
      <c r="D56" s="15" t="s">
        <v>408</v>
      </c>
      <c r="E56" s="20" t="s">
        <v>375</v>
      </c>
    </row>
    <row r="57" spans="1:5">
      <c r="A57" t="s">
        <v>371</v>
      </c>
      <c r="C57" s="14" t="s">
        <v>373</v>
      </c>
      <c r="D57" s="15" t="s">
        <v>409</v>
      </c>
      <c r="E57" s="20" t="s">
        <v>375</v>
      </c>
    </row>
    <row r="58" spans="1:5">
      <c r="A58" t="s">
        <v>371</v>
      </c>
      <c r="C58" s="14" t="s">
        <v>373</v>
      </c>
      <c r="D58" s="15" t="s">
        <v>410</v>
      </c>
      <c r="E58" s="20" t="s">
        <v>375</v>
      </c>
    </row>
    <row r="59" spans="1:5">
      <c r="A59" t="s">
        <v>371</v>
      </c>
      <c r="C59" s="14" t="s">
        <v>373</v>
      </c>
      <c r="D59" s="15" t="s">
        <v>411</v>
      </c>
      <c r="E59" s="20" t="s">
        <v>375</v>
      </c>
    </row>
    <row r="60" spans="1:5">
      <c r="A60" t="s">
        <v>371</v>
      </c>
      <c r="C60" s="14" t="s">
        <v>373</v>
      </c>
      <c r="D60" s="15" t="s">
        <v>412</v>
      </c>
      <c r="E60" s="20" t="s">
        <v>375</v>
      </c>
    </row>
    <row r="61" spans="1:5">
      <c r="A61" t="s">
        <v>371</v>
      </c>
      <c r="C61" s="14" t="s">
        <v>373</v>
      </c>
      <c r="D61" s="15" t="s">
        <v>413</v>
      </c>
      <c r="E61" s="20" t="s">
        <v>375</v>
      </c>
    </row>
    <row r="62" spans="1:5">
      <c r="A62" t="s">
        <v>371</v>
      </c>
      <c r="C62" s="14" t="s">
        <v>373</v>
      </c>
      <c r="D62" s="15" t="s">
        <v>414</v>
      </c>
      <c r="E62" s="20" t="s">
        <v>375</v>
      </c>
    </row>
    <row r="63" spans="1:5">
      <c r="A63" t="s">
        <v>371</v>
      </c>
      <c r="C63" s="14" t="s">
        <v>373</v>
      </c>
      <c r="D63" s="15" t="s">
        <v>415</v>
      </c>
      <c r="E63" s="20" t="s">
        <v>375</v>
      </c>
    </row>
    <row r="64" spans="1:5">
      <c r="A64" t="s">
        <v>371</v>
      </c>
      <c r="C64" s="14" t="s">
        <v>373</v>
      </c>
      <c r="D64" s="15" t="s">
        <v>416</v>
      </c>
      <c r="E64" s="20" t="s">
        <v>375</v>
      </c>
    </row>
    <row r="65" spans="1:5">
      <c r="A65" t="s">
        <v>371</v>
      </c>
      <c r="C65" s="14" t="s">
        <v>373</v>
      </c>
      <c r="D65" s="15" t="s">
        <v>417</v>
      </c>
      <c r="E65" s="20" t="s">
        <v>375</v>
      </c>
    </row>
    <row r="66" spans="1:5">
      <c r="A66" t="s">
        <v>371</v>
      </c>
      <c r="B66" t="s">
        <v>418</v>
      </c>
      <c r="C66" s="14" t="s">
        <v>373</v>
      </c>
      <c r="D66" s="15" t="s">
        <v>419</v>
      </c>
      <c r="E66" s="20" t="s">
        <v>375</v>
      </c>
    </row>
    <row r="67" spans="1:5">
      <c r="A67" t="s">
        <v>371</v>
      </c>
      <c r="B67" t="s">
        <v>420</v>
      </c>
      <c r="C67" s="14" t="s">
        <v>373</v>
      </c>
      <c r="D67" s="15" t="s">
        <v>421</v>
      </c>
      <c r="E67" s="20" t="s">
        <v>375</v>
      </c>
    </row>
    <row r="68" spans="1:5">
      <c r="A68" t="s">
        <v>371</v>
      </c>
      <c r="C68" s="14" t="s">
        <v>373</v>
      </c>
      <c r="D68" s="15" t="s">
        <v>422</v>
      </c>
      <c r="E68" s="20" t="s">
        <v>375</v>
      </c>
    </row>
    <row r="69" spans="1:5">
      <c r="A69" t="s">
        <v>371</v>
      </c>
      <c r="C69" s="14" t="s">
        <v>373</v>
      </c>
      <c r="D69" s="15" t="s">
        <v>423</v>
      </c>
      <c r="E69" s="20" t="s">
        <v>375</v>
      </c>
    </row>
    <row r="70" spans="1:5">
      <c r="A70" t="s">
        <v>371</v>
      </c>
      <c r="C70" s="14" t="s">
        <v>373</v>
      </c>
      <c r="D70" s="15" t="s">
        <v>424</v>
      </c>
      <c r="E70" s="20" t="s">
        <v>375</v>
      </c>
    </row>
    <row r="71" spans="1:5">
      <c r="A71" t="s">
        <v>371</v>
      </c>
      <c r="C71" s="14" t="s">
        <v>373</v>
      </c>
      <c r="D71" s="15" t="s">
        <v>425</v>
      </c>
      <c r="E71" s="20" t="s">
        <v>375</v>
      </c>
    </row>
    <row r="72" spans="1:5">
      <c r="A72" t="s">
        <v>371</v>
      </c>
      <c r="C72" s="14" t="s">
        <v>373</v>
      </c>
      <c r="D72" s="15" t="s">
        <v>426</v>
      </c>
      <c r="E72" s="20" t="s">
        <v>375</v>
      </c>
    </row>
    <row r="73" spans="1:5">
      <c r="A73" t="s">
        <v>371</v>
      </c>
      <c r="C73" s="14" t="s">
        <v>373</v>
      </c>
      <c r="D73" s="15" t="s">
        <v>427</v>
      </c>
      <c r="E73" s="20" t="s">
        <v>375</v>
      </c>
    </row>
    <row r="74" spans="1:5">
      <c r="A74" t="s">
        <v>371</v>
      </c>
      <c r="C74" s="14" t="s">
        <v>373</v>
      </c>
      <c r="D74" s="15" t="s">
        <v>428</v>
      </c>
      <c r="E74" s="20" t="s">
        <v>375</v>
      </c>
    </row>
    <row r="75" spans="1:5">
      <c r="A75" t="s">
        <v>371</v>
      </c>
      <c r="C75" s="14" t="s">
        <v>373</v>
      </c>
      <c r="D75" s="15" t="s">
        <v>429</v>
      </c>
      <c r="E75" s="20" t="s">
        <v>375</v>
      </c>
    </row>
    <row r="76" spans="1:5">
      <c r="A76" t="s">
        <v>371</v>
      </c>
      <c r="C76" s="14" t="s">
        <v>373</v>
      </c>
      <c r="D76" s="15" t="s">
        <v>430</v>
      </c>
      <c r="E76" s="20" t="s">
        <v>375</v>
      </c>
    </row>
    <row r="77" spans="1:5">
      <c r="A77" t="s">
        <v>371</v>
      </c>
      <c r="C77" s="14" t="s">
        <v>373</v>
      </c>
      <c r="D77" s="15" t="s">
        <v>431</v>
      </c>
      <c r="E77" s="20" t="s">
        <v>375</v>
      </c>
    </row>
    <row r="78" spans="1:5">
      <c r="A78" t="s">
        <v>371</v>
      </c>
      <c r="C78" s="14" t="s">
        <v>373</v>
      </c>
      <c r="D78" s="15" t="s">
        <v>432</v>
      </c>
      <c r="E78" s="20" t="s">
        <v>375</v>
      </c>
    </row>
    <row r="79" spans="1:5">
      <c r="A79" t="s">
        <v>371</v>
      </c>
      <c r="B79" t="s">
        <v>433</v>
      </c>
      <c r="C79" s="14" t="s">
        <v>373</v>
      </c>
      <c r="D79" s="15" t="s">
        <v>434</v>
      </c>
      <c r="E79" s="20" t="s">
        <v>375</v>
      </c>
    </row>
    <row r="80" spans="1:5">
      <c r="A80" t="s">
        <v>371</v>
      </c>
      <c r="C80" s="14" t="s">
        <v>373</v>
      </c>
      <c r="D80" s="15" t="s">
        <v>435</v>
      </c>
      <c r="E80" s="20" t="s">
        <v>375</v>
      </c>
    </row>
    <row r="81" spans="1:5">
      <c r="A81" t="s">
        <v>371</v>
      </c>
      <c r="C81" s="14" t="s">
        <v>373</v>
      </c>
      <c r="D81" s="15" t="s">
        <v>436</v>
      </c>
      <c r="E81" s="20" t="s">
        <v>375</v>
      </c>
    </row>
    <row r="82" spans="1:5">
      <c r="A82" t="s">
        <v>371</v>
      </c>
      <c r="C82" s="14" t="s">
        <v>373</v>
      </c>
      <c r="D82" s="15" t="s">
        <v>437</v>
      </c>
      <c r="E82" s="20" t="s">
        <v>375</v>
      </c>
    </row>
    <row r="83" spans="1:5">
      <c r="A83" t="s">
        <v>371</v>
      </c>
      <c r="C83" s="14" t="s">
        <v>373</v>
      </c>
      <c r="D83" s="15" t="s">
        <v>438</v>
      </c>
      <c r="E83" s="20" t="s">
        <v>375</v>
      </c>
    </row>
    <row r="84" spans="1:5">
      <c r="A84" t="s">
        <v>371</v>
      </c>
      <c r="C84" s="14" t="s">
        <v>373</v>
      </c>
      <c r="D84" s="15" t="s">
        <v>439</v>
      </c>
      <c r="E84" s="20" t="s">
        <v>375</v>
      </c>
    </row>
    <row r="85" spans="1:5">
      <c r="A85" t="s">
        <v>371</v>
      </c>
      <c r="C85" s="14" t="s">
        <v>373</v>
      </c>
      <c r="D85" s="15" t="s">
        <v>440</v>
      </c>
      <c r="E85" s="20" t="s">
        <v>375</v>
      </c>
    </row>
    <row r="86" spans="1:5">
      <c r="A86" t="s">
        <v>371</v>
      </c>
      <c r="C86" s="14" t="s">
        <v>373</v>
      </c>
      <c r="D86" s="15" t="s">
        <v>441</v>
      </c>
      <c r="E86" s="20" t="s">
        <v>375</v>
      </c>
    </row>
    <row r="87" spans="1:5">
      <c r="A87" t="s">
        <v>371</v>
      </c>
      <c r="C87" s="14" t="s">
        <v>373</v>
      </c>
      <c r="D87" s="15" t="s">
        <v>442</v>
      </c>
      <c r="E87" s="20" t="s">
        <v>375</v>
      </c>
    </row>
    <row r="88" spans="1:5">
      <c r="A88" t="s">
        <v>371</v>
      </c>
      <c r="C88" s="14" t="s">
        <v>373</v>
      </c>
      <c r="D88" s="15" t="s">
        <v>443</v>
      </c>
      <c r="E88" s="20" t="s">
        <v>375</v>
      </c>
    </row>
    <row r="89" spans="1:5">
      <c r="A89" t="s">
        <v>371</v>
      </c>
      <c r="C89" s="14" t="s">
        <v>373</v>
      </c>
      <c r="D89" s="15" t="s">
        <v>444</v>
      </c>
      <c r="E89" s="20" t="s">
        <v>375</v>
      </c>
    </row>
    <row r="90" spans="1:5">
      <c r="A90" t="s">
        <v>371</v>
      </c>
      <c r="C90" s="14" t="s">
        <v>373</v>
      </c>
      <c r="D90" s="15" t="s">
        <v>445</v>
      </c>
      <c r="E90" s="20" t="s">
        <v>375</v>
      </c>
    </row>
    <row r="91" spans="1:5">
      <c r="A91" t="s">
        <v>371</v>
      </c>
      <c r="B91" t="s">
        <v>446</v>
      </c>
      <c r="C91" s="14" t="s">
        <v>373</v>
      </c>
      <c r="D91" s="15" t="s">
        <v>447</v>
      </c>
      <c r="E91" s="20" t="s">
        <v>375</v>
      </c>
    </row>
    <row r="92" spans="1:5">
      <c r="A92" t="s">
        <v>371</v>
      </c>
      <c r="C92" s="14" t="s">
        <v>373</v>
      </c>
      <c r="D92" s="15" t="s">
        <v>448</v>
      </c>
      <c r="E92" s="20" t="s">
        <v>375</v>
      </c>
    </row>
    <row r="93" spans="1:5">
      <c r="A93" t="s">
        <v>371</v>
      </c>
      <c r="C93" s="14" t="s">
        <v>373</v>
      </c>
      <c r="D93" s="15" t="s">
        <v>449</v>
      </c>
      <c r="E93" s="20" t="s">
        <v>375</v>
      </c>
    </row>
    <row r="94" spans="1:5">
      <c r="A94" t="s">
        <v>371</v>
      </c>
      <c r="C94" s="14" t="s">
        <v>373</v>
      </c>
      <c r="D94" s="15" t="s">
        <v>450</v>
      </c>
      <c r="E94" s="20" t="s">
        <v>375</v>
      </c>
    </row>
    <row r="95" spans="1:5">
      <c r="A95" t="s">
        <v>371</v>
      </c>
      <c r="C95" s="14" t="s">
        <v>373</v>
      </c>
      <c r="D95" s="15" t="s">
        <v>451</v>
      </c>
      <c r="E95" s="20" t="s">
        <v>375</v>
      </c>
    </row>
    <row r="96" spans="1:5">
      <c r="A96" t="s">
        <v>371</v>
      </c>
      <c r="C96" s="14" t="s">
        <v>373</v>
      </c>
      <c r="D96" s="15" t="s">
        <v>452</v>
      </c>
      <c r="E96" s="20" t="s">
        <v>375</v>
      </c>
    </row>
    <row r="97" spans="1:5">
      <c r="A97" t="s">
        <v>371</v>
      </c>
      <c r="C97" s="14" t="s">
        <v>373</v>
      </c>
      <c r="D97" s="15" t="s">
        <v>453</v>
      </c>
      <c r="E97" s="20" t="s">
        <v>375</v>
      </c>
    </row>
    <row r="98" spans="1:5">
      <c r="A98" t="s">
        <v>371</v>
      </c>
      <c r="C98" s="14" t="s">
        <v>373</v>
      </c>
      <c r="D98" s="15" t="s">
        <v>454</v>
      </c>
      <c r="E98" s="20" t="s">
        <v>375</v>
      </c>
    </row>
    <row r="99" spans="1:5">
      <c r="A99" t="s">
        <v>371</v>
      </c>
      <c r="C99" s="14" t="s">
        <v>373</v>
      </c>
      <c r="D99" s="15" t="s">
        <v>455</v>
      </c>
      <c r="E99" s="20" t="s">
        <v>375</v>
      </c>
    </row>
    <row r="100" spans="1:5">
      <c r="A100" t="s">
        <v>371</v>
      </c>
      <c r="C100" s="14" t="s">
        <v>373</v>
      </c>
      <c r="D100" s="15" t="s">
        <v>456</v>
      </c>
      <c r="E100" s="20" t="s">
        <v>375</v>
      </c>
    </row>
    <row r="101" spans="1:5">
      <c r="A101" t="s">
        <v>371</v>
      </c>
      <c r="C101" s="14" t="s">
        <v>373</v>
      </c>
      <c r="D101" s="15" t="s">
        <v>457</v>
      </c>
      <c r="E101" s="20" t="s">
        <v>375</v>
      </c>
    </row>
    <row r="102" spans="1:5">
      <c r="A102" t="s">
        <v>371</v>
      </c>
      <c r="C102" s="14" t="s">
        <v>373</v>
      </c>
      <c r="D102" s="15" t="s">
        <v>458</v>
      </c>
      <c r="E102" s="20" t="s">
        <v>375</v>
      </c>
    </row>
    <row r="103" spans="1:5">
      <c r="A103" t="s">
        <v>371</v>
      </c>
      <c r="C103" s="14" t="s">
        <v>373</v>
      </c>
      <c r="D103" s="15" t="s">
        <v>459</v>
      </c>
      <c r="E103" s="20" t="s">
        <v>375</v>
      </c>
    </row>
    <row r="104" spans="1:5">
      <c r="A104" t="s">
        <v>371</v>
      </c>
      <c r="C104" s="14" t="s">
        <v>373</v>
      </c>
      <c r="D104" s="15" t="s">
        <v>460</v>
      </c>
      <c r="E104" s="20" t="s">
        <v>375</v>
      </c>
    </row>
    <row r="105" spans="1:5">
      <c r="A105" t="s">
        <v>371</v>
      </c>
      <c r="C105" s="14" t="s">
        <v>373</v>
      </c>
      <c r="D105" s="15" t="s">
        <v>461</v>
      </c>
      <c r="E105" s="20" t="s">
        <v>375</v>
      </c>
    </row>
    <row r="106" spans="1:5">
      <c r="A106" t="s">
        <v>371</v>
      </c>
      <c r="C106" s="14" t="s">
        <v>373</v>
      </c>
      <c r="D106" s="15" t="s">
        <v>462</v>
      </c>
      <c r="E106" s="20" t="s">
        <v>375</v>
      </c>
    </row>
    <row r="107" spans="1:5">
      <c r="A107" t="s">
        <v>371</v>
      </c>
      <c r="C107" s="14" t="s">
        <v>373</v>
      </c>
      <c r="D107" s="15" t="s">
        <v>463</v>
      </c>
      <c r="E107" s="20" t="s">
        <v>375</v>
      </c>
    </row>
    <row r="108" spans="1:5">
      <c r="A108" t="s">
        <v>371</v>
      </c>
      <c r="C108" s="14" t="s">
        <v>373</v>
      </c>
      <c r="D108" s="15" t="s">
        <v>464</v>
      </c>
      <c r="E108" s="20" t="s">
        <v>375</v>
      </c>
    </row>
    <row r="109" spans="1:5">
      <c r="A109" t="s">
        <v>371</v>
      </c>
      <c r="C109" s="14" t="s">
        <v>373</v>
      </c>
      <c r="D109" s="15" t="s">
        <v>465</v>
      </c>
      <c r="E109" s="20" t="s">
        <v>375</v>
      </c>
    </row>
    <row r="110" spans="1:5">
      <c r="A110" t="s">
        <v>371</v>
      </c>
      <c r="C110" s="14" t="s">
        <v>373</v>
      </c>
      <c r="D110" s="15" t="s">
        <v>466</v>
      </c>
      <c r="E110" s="20" t="s">
        <v>375</v>
      </c>
    </row>
    <row r="111" spans="1:5">
      <c r="A111" t="s">
        <v>371</v>
      </c>
      <c r="C111" s="14" t="s">
        <v>373</v>
      </c>
      <c r="D111" s="15" t="s">
        <v>467</v>
      </c>
      <c r="E111" s="20" t="s">
        <v>375</v>
      </c>
    </row>
    <row r="112" spans="1:5">
      <c r="A112" t="s">
        <v>371</v>
      </c>
      <c r="C112" s="14" t="s">
        <v>373</v>
      </c>
      <c r="D112" s="15" t="s">
        <v>468</v>
      </c>
      <c r="E112" s="20" t="s">
        <v>375</v>
      </c>
    </row>
    <row r="113" spans="1:5">
      <c r="A113" t="s">
        <v>371</v>
      </c>
      <c r="C113" s="14" t="s">
        <v>373</v>
      </c>
      <c r="D113" s="15" t="s">
        <v>469</v>
      </c>
      <c r="E113" s="20" t="s">
        <v>375</v>
      </c>
    </row>
    <row r="114" spans="1:5">
      <c r="A114" t="s">
        <v>371</v>
      </c>
      <c r="C114" s="14" t="s">
        <v>373</v>
      </c>
      <c r="D114" s="15" t="s">
        <v>470</v>
      </c>
      <c r="E114" s="20" t="s">
        <v>375</v>
      </c>
    </row>
    <row r="115" spans="1:5">
      <c r="A115" t="s">
        <v>371</v>
      </c>
      <c r="C115" s="14" t="s">
        <v>373</v>
      </c>
      <c r="D115" s="15" t="s">
        <v>471</v>
      </c>
      <c r="E115" s="20" t="s">
        <v>375</v>
      </c>
    </row>
    <row r="116" spans="1:5">
      <c r="A116" t="s">
        <v>371</v>
      </c>
      <c r="C116" s="14" t="s">
        <v>373</v>
      </c>
      <c r="D116" s="15" t="s">
        <v>472</v>
      </c>
      <c r="E116" s="20" t="s">
        <v>375</v>
      </c>
    </row>
    <row r="117" spans="1:5">
      <c r="A117" t="s">
        <v>371</v>
      </c>
      <c r="C117" s="14" t="s">
        <v>373</v>
      </c>
      <c r="D117" s="15" t="s">
        <v>473</v>
      </c>
      <c r="E117" s="20" t="s">
        <v>375</v>
      </c>
    </row>
    <row r="118" spans="1:5">
      <c r="A118" t="s">
        <v>371</v>
      </c>
      <c r="C118" s="14" t="s">
        <v>373</v>
      </c>
      <c r="D118" s="15" t="s">
        <v>474</v>
      </c>
      <c r="E118" s="20" t="s">
        <v>375</v>
      </c>
    </row>
    <row r="119" spans="1:5">
      <c r="A119" t="s">
        <v>371</v>
      </c>
      <c r="C119" s="14" t="s">
        <v>373</v>
      </c>
      <c r="D119" s="15" t="s">
        <v>475</v>
      </c>
      <c r="E119" s="20" t="s">
        <v>375</v>
      </c>
    </row>
    <row r="120" spans="1:5">
      <c r="A120" t="s">
        <v>371</v>
      </c>
      <c r="C120" s="14" t="s">
        <v>373</v>
      </c>
      <c r="D120" s="15" t="s">
        <v>476</v>
      </c>
      <c r="E120" s="20" t="s">
        <v>375</v>
      </c>
    </row>
    <row r="121" spans="1:5">
      <c r="A121" t="s">
        <v>371</v>
      </c>
      <c r="C121" s="14" t="s">
        <v>373</v>
      </c>
      <c r="D121" s="15" t="s">
        <v>477</v>
      </c>
      <c r="E121" s="20" t="s">
        <v>375</v>
      </c>
    </row>
    <row r="122" spans="1:5">
      <c r="A122" t="s">
        <v>371</v>
      </c>
      <c r="C122" s="14" t="s">
        <v>373</v>
      </c>
      <c r="D122" s="15" t="s">
        <v>478</v>
      </c>
      <c r="E122" s="20" t="s">
        <v>375</v>
      </c>
    </row>
    <row r="123" spans="1:5">
      <c r="A123" t="s">
        <v>371</v>
      </c>
      <c r="C123" s="14" t="s">
        <v>373</v>
      </c>
      <c r="D123" s="15" t="s">
        <v>479</v>
      </c>
      <c r="E123" s="20" t="s">
        <v>375</v>
      </c>
    </row>
    <row r="124" spans="1:5">
      <c r="A124" t="s">
        <v>371</v>
      </c>
      <c r="C124" s="14" t="s">
        <v>373</v>
      </c>
      <c r="D124" s="15" t="s">
        <v>480</v>
      </c>
      <c r="E124" s="20" t="s">
        <v>375</v>
      </c>
    </row>
    <row r="125" spans="1:5">
      <c r="A125" t="s">
        <v>371</v>
      </c>
      <c r="C125" s="14" t="s">
        <v>373</v>
      </c>
      <c r="D125" s="15" t="s">
        <v>481</v>
      </c>
      <c r="E125" s="20" t="s">
        <v>375</v>
      </c>
    </row>
    <row r="126" spans="1:5">
      <c r="A126" t="s">
        <v>371</v>
      </c>
      <c r="C126" s="14" t="s">
        <v>373</v>
      </c>
      <c r="D126" s="15" t="s">
        <v>482</v>
      </c>
      <c r="E126" s="20" t="s">
        <v>375</v>
      </c>
    </row>
    <row r="127" spans="1:5">
      <c r="A127" t="s">
        <v>371</v>
      </c>
      <c r="C127" s="14" t="s">
        <v>373</v>
      </c>
      <c r="D127" s="15" t="s">
        <v>483</v>
      </c>
      <c r="E127" s="20" t="s">
        <v>375</v>
      </c>
    </row>
    <row r="128" spans="1:5">
      <c r="A128" t="s">
        <v>371</v>
      </c>
      <c r="C128" s="14" t="s">
        <v>373</v>
      </c>
      <c r="D128" s="15" t="s">
        <v>484</v>
      </c>
      <c r="E128" s="20" t="s">
        <v>375</v>
      </c>
    </row>
    <row r="129" spans="1:5">
      <c r="A129" t="s">
        <v>371</v>
      </c>
      <c r="C129" s="14" t="s">
        <v>373</v>
      </c>
      <c r="D129" s="15" t="s">
        <v>485</v>
      </c>
      <c r="E129" s="20" t="s">
        <v>375</v>
      </c>
    </row>
    <row r="130" spans="1:5">
      <c r="A130" t="s">
        <v>371</v>
      </c>
      <c r="C130" s="14" t="s">
        <v>373</v>
      </c>
      <c r="D130" s="15" t="s">
        <v>486</v>
      </c>
      <c r="E130" s="20" t="s">
        <v>375</v>
      </c>
    </row>
    <row r="131" spans="1:5">
      <c r="A131" t="s">
        <v>371</v>
      </c>
      <c r="C131" s="14" t="s">
        <v>373</v>
      </c>
      <c r="D131" s="15" t="s">
        <v>487</v>
      </c>
      <c r="E131" s="20" t="s">
        <v>375</v>
      </c>
    </row>
    <row r="132" spans="1:5">
      <c r="A132" t="s">
        <v>371</v>
      </c>
      <c r="C132" s="14" t="s">
        <v>373</v>
      </c>
      <c r="D132" s="15" t="s">
        <v>488</v>
      </c>
      <c r="E132" s="20" t="s">
        <v>375</v>
      </c>
    </row>
    <row r="133" spans="1:5">
      <c r="A133" t="s">
        <v>489</v>
      </c>
      <c r="B133" s="15" t="s">
        <v>490</v>
      </c>
      <c r="C133" s="17" t="s">
        <v>114</v>
      </c>
      <c r="D133" s="15" t="s">
        <v>491</v>
      </c>
    </row>
    <row r="134" spans="1:5">
      <c r="A134" t="s">
        <v>489</v>
      </c>
      <c r="B134" s="36" t="s">
        <v>492</v>
      </c>
      <c r="C134" s="17" t="s">
        <v>114</v>
      </c>
      <c r="D134" s="15" t="s">
        <v>493</v>
      </c>
    </row>
    <row r="135" spans="1:5">
      <c r="A135" t="s">
        <v>489</v>
      </c>
      <c r="B135" s="36" t="s">
        <v>494</v>
      </c>
      <c r="C135" s="17" t="s">
        <v>114</v>
      </c>
      <c r="D135" s="15" t="s">
        <v>495</v>
      </c>
    </row>
    <row r="136" spans="1:5">
      <c r="A136" t="s">
        <v>489</v>
      </c>
      <c r="B136" t="s">
        <v>496</v>
      </c>
      <c r="C136" s="17" t="s">
        <v>114</v>
      </c>
      <c r="D136" s="15" t="s">
        <v>497</v>
      </c>
    </row>
    <row r="137" spans="1:5">
      <c r="A137" t="s">
        <v>489</v>
      </c>
      <c r="B137" t="s">
        <v>498</v>
      </c>
      <c r="C137" s="17" t="s">
        <v>114</v>
      </c>
      <c r="D137" s="15" t="s">
        <v>499</v>
      </c>
    </row>
    <row r="138" spans="1:5">
      <c r="A138" t="s">
        <v>489</v>
      </c>
      <c r="B138" t="s">
        <v>500</v>
      </c>
      <c r="C138" s="17" t="s">
        <v>114</v>
      </c>
      <c r="D138" s="15" t="s">
        <v>501</v>
      </c>
    </row>
    <row r="139" spans="1:5">
      <c r="A139" t="s">
        <v>489</v>
      </c>
      <c r="B139" t="s">
        <v>502</v>
      </c>
      <c r="C139" s="17" t="s">
        <v>114</v>
      </c>
      <c r="D139" s="15" t="s">
        <v>503</v>
      </c>
    </row>
    <row r="140" spans="1:5">
      <c r="A140" t="s">
        <v>504</v>
      </c>
      <c r="B140" t="s">
        <v>505</v>
      </c>
      <c r="C140" s="14" t="s">
        <v>240</v>
      </c>
      <c r="D140" s="15" t="s">
        <v>506</v>
      </c>
    </row>
    <row r="141" spans="1:5">
      <c r="A141" t="s">
        <v>504</v>
      </c>
      <c r="B141" t="s">
        <v>507</v>
      </c>
      <c r="C141" s="14" t="s">
        <v>240</v>
      </c>
      <c r="D141" s="15" t="s">
        <v>508</v>
      </c>
    </row>
    <row r="142" spans="1:5">
      <c r="A142" t="s">
        <v>504</v>
      </c>
      <c r="B142" t="s">
        <v>509</v>
      </c>
      <c r="C142" s="14" t="s">
        <v>240</v>
      </c>
      <c r="D142" s="15" t="s">
        <v>510</v>
      </c>
    </row>
    <row r="143" spans="1:5">
      <c r="A143" t="s">
        <v>504</v>
      </c>
      <c r="B143" t="s">
        <v>511</v>
      </c>
      <c r="C143" s="14" t="s">
        <v>240</v>
      </c>
      <c r="D143" s="15" t="s">
        <v>512</v>
      </c>
    </row>
    <row r="144" spans="1:5">
      <c r="A144" t="s">
        <v>204</v>
      </c>
      <c r="B144" t="s">
        <v>513</v>
      </c>
      <c r="C144" s="14" t="s">
        <v>514</v>
      </c>
      <c r="D144" s="35" t="s">
        <v>515</v>
      </c>
    </row>
    <row r="145" spans="1:4">
      <c r="A145" t="s">
        <v>204</v>
      </c>
      <c r="B145" t="s">
        <v>516</v>
      </c>
      <c r="C145" s="14" t="s">
        <v>514</v>
      </c>
      <c r="D145" s="35" t="s">
        <v>517</v>
      </c>
    </row>
    <row r="146" spans="1:4">
      <c r="A146" t="s">
        <v>204</v>
      </c>
      <c r="B146" t="s">
        <v>518</v>
      </c>
      <c r="C146" s="14" t="s">
        <v>514</v>
      </c>
      <c r="D146" s="35" t="s">
        <v>519</v>
      </c>
    </row>
    <row r="147" spans="1:4">
      <c r="A147" t="s">
        <v>204</v>
      </c>
      <c r="B147" t="s">
        <v>520</v>
      </c>
      <c r="C147" s="14" t="s">
        <v>514</v>
      </c>
      <c r="D147" s="35" t="s">
        <v>521</v>
      </c>
    </row>
    <row r="148" spans="1:4">
      <c r="A148" t="s">
        <v>204</v>
      </c>
      <c r="B148" t="s">
        <v>522</v>
      </c>
      <c r="C148" s="14" t="s">
        <v>514</v>
      </c>
      <c r="D148" s="35" t="s">
        <v>523</v>
      </c>
    </row>
    <row r="149" spans="1:4">
      <c r="A149" t="s">
        <v>204</v>
      </c>
      <c r="B149" t="s">
        <v>524</v>
      </c>
      <c r="C149" s="14" t="s">
        <v>514</v>
      </c>
      <c r="D149" s="35" t="s">
        <v>525</v>
      </c>
    </row>
    <row r="150" spans="1:4">
      <c r="A150" t="s">
        <v>204</v>
      </c>
      <c r="B150" t="s">
        <v>526</v>
      </c>
      <c r="C150" s="14" t="s">
        <v>514</v>
      </c>
      <c r="D150" s="35" t="s">
        <v>527</v>
      </c>
    </row>
    <row r="151" spans="1:4">
      <c r="A151" t="s">
        <v>204</v>
      </c>
      <c r="B151" t="s">
        <v>528</v>
      </c>
      <c r="C151" s="14" t="s">
        <v>514</v>
      </c>
      <c r="D151" s="35" t="s">
        <v>529</v>
      </c>
    </row>
    <row r="152" spans="1:4">
      <c r="A152" t="s">
        <v>204</v>
      </c>
      <c r="B152" t="s">
        <v>530</v>
      </c>
      <c r="C152" s="14" t="s">
        <v>514</v>
      </c>
      <c r="D152" s="35" t="s">
        <v>531</v>
      </c>
    </row>
    <row r="153" spans="1:4">
      <c r="A153" t="s">
        <v>204</v>
      </c>
      <c r="B153" t="s">
        <v>532</v>
      </c>
      <c r="C153" s="14" t="s">
        <v>514</v>
      </c>
      <c r="D153" s="35" t="s">
        <v>533</v>
      </c>
    </row>
    <row r="154" spans="1:4">
      <c r="A154" t="s">
        <v>204</v>
      </c>
      <c r="B154" t="s">
        <v>534</v>
      </c>
      <c r="C154" s="14" t="s">
        <v>514</v>
      </c>
      <c r="D154" s="35" t="s">
        <v>535</v>
      </c>
    </row>
    <row r="155" spans="1:4">
      <c r="A155" t="s">
        <v>204</v>
      </c>
      <c r="B155" t="s">
        <v>536</v>
      </c>
      <c r="C155" s="14" t="s">
        <v>514</v>
      </c>
      <c r="D155" s="35" t="s">
        <v>537</v>
      </c>
    </row>
    <row r="156" spans="1:4">
      <c r="A156" t="s">
        <v>204</v>
      </c>
      <c r="B156" t="s">
        <v>538</v>
      </c>
      <c r="C156" s="14" t="s">
        <v>514</v>
      </c>
      <c r="D156" s="35" t="s">
        <v>539</v>
      </c>
    </row>
    <row r="157" spans="1:4">
      <c r="A157" t="s">
        <v>204</v>
      </c>
      <c r="B157" t="s">
        <v>540</v>
      </c>
      <c r="C157" s="14" t="s">
        <v>514</v>
      </c>
      <c r="D157" s="35" t="s">
        <v>541</v>
      </c>
    </row>
    <row r="158" spans="1:4">
      <c r="A158" t="s">
        <v>204</v>
      </c>
      <c r="B158" t="s">
        <v>542</v>
      </c>
      <c r="C158" s="14" t="s">
        <v>514</v>
      </c>
      <c r="D158" s="35" t="s">
        <v>543</v>
      </c>
    </row>
    <row r="159" spans="1:4">
      <c r="A159" t="s">
        <v>204</v>
      </c>
      <c r="B159" t="s">
        <v>544</v>
      </c>
      <c r="C159" s="14" t="s">
        <v>514</v>
      </c>
      <c r="D159" s="35" t="s">
        <v>545</v>
      </c>
    </row>
    <row r="160" spans="1:4">
      <c r="A160" t="s">
        <v>204</v>
      </c>
      <c r="B160" t="s">
        <v>546</v>
      </c>
      <c r="C160" s="14" t="s">
        <v>514</v>
      </c>
      <c r="D160" s="35" t="s">
        <v>547</v>
      </c>
    </row>
    <row r="161" spans="1:5">
      <c r="A161" t="s">
        <v>204</v>
      </c>
      <c r="B161" t="s">
        <v>548</v>
      </c>
      <c r="C161" s="14" t="s">
        <v>514</v>
      </c>
      <c r="D161" s="35" t="s">
        <v>549</v>
      </c>
    </row>
    <row r="162" spans="1:5">
      <c r="A162" t="s">
        <v>204</v>
      </c>
      <c r="B162" t="s">
        <v>550</v>
      </c>
      <c r="C162" s="14" t="s">
        <v>514</v>
      </c>
      <c r="D162" s="35" t="s">
        <v>551</v>
      </c>
    </row>
    <row r="163" spans="1:5">
      <c r="A163" t="s">
        <v>204</v>
      </c>
      <c r="B163" t="s">
        <v>552</v>
      </c>
      <c r="C163" s="14" t="s">
        <v>514</v>
      </c>
      <c r="D163" s="35" t="s">
        <v>553</v>
      </c>
    </row>
    <row r="164" spans="1:5">
      <c r="A164" t="s">
        <v>204</v>
      </c>
      <c r="B164" t="s">
        <v>554</v>
      </c>
      <c r="C164" s="14" t="s">
        <v>514</v>
      </c>
      <c r="D164" s="35" t="s">
        <v>555</v>
      </c>
    </row>
    <row r="165" spans="1:5">
      <c r="A165" t="s">
        <v>204</v>
      </c>
      <c r="B165" t="s">
        <v>556</v>
      </c>
      <c r="C165" s="14" t="s">
        <v>514</v>
      </c>
      <c r="D165" s="35" t="s">
        <v>557</v>
      </c>
    </row>
    <row r="166" spans="1:5">
      <c r="A166" t="s">
        <v>204</v>
      </c>
      <c r="B166" t="s">
        <v>558</v>
      </c>
      <c r="C166" s="14" t="s">
        <v>514</v>
      </c>
      <c r="D166" s="35" t="s">
        <v>559</v>
      </c>
    </row>
    <row r="167" spans="1:5">
      <c r="A167" t="s">
        <v>204</v>
      </c>
      <c r="B167" t="s">
        <v>560</v>
      </c>
      <c r="C167" s="14" t="s">
        <v>514</v>
      </c>
      <c r="D167" s="35" t="s">
        <v>561</v>
      </c>
    </row>
    <row r="168" spans="1:5">
      <c r="A168" t="s">
        <v>204</v>
      </c>
      <c r="B168" t="s">
        <v>562</v>
      </c>
      <c r="C168" s="14" t="s">
        <v>514</v>
      </c>
      <c r="D168" s="35" t="s">
        <v>563</v>
      </c>
    </row>
    <row r="169" spans="1:5">
      <c r="A169" t="s">
        <v>204</v>
      </c>
      <c r="B169" t="s">
        <v>564</v>
      </c>
      <c r="C169" s="14" t="s">
        <v>514</v>
      </c>
      <c r="D169" s="35" t="s">
        <v>565</v>
      </c>
    </row>
    <row r="170" spans="1:5">
      <c r="A170" t="s">
        <v>204</v>
      </c>
      <c r="B170" t="s">
        <v>566</v>
      </c>
      <c r="C170" s="14" t="s">
        <v>514</v>
      </c>
      <c r="D170" s="35" t="s">
        <v>567</v>
      </c>
      <c r="E170" s="39"/>
    </row>
    <row r="171" spans="1:5">
      <c r="A171" t="s">
        <v>204</v>
      </c>
      <c r="B171" t="s">
        <v>568</v>
      </c>
      <c r="C171" s="14" t="s">
        <v>514</v>
      </c>
      <c r="D171" s="35" t="s">
        <v>569</v>
      </c>
    </row>
    <row r="172" spans="1:5">
      <c r="A172" t="s">
        <v>204</v>
      </c>
      <c r="B172" t="s">
        <v>570</v>
      </c>
      <c r="C172" s="14" t="s">
        <v>514</v>
      </c>
      <c r="D172" s="35" t="s">
        <v>571</v>
      </c>
    </row>
    <row r="173" spans="1:5">
      <c r="A173" t="s">
        <v>204</v>
      </c>
      <c r="B173" t="s">
        <v>572</v>
      </c>
      <c r="C173" s="14" t="s">
        <v>514</v>
      </c>
      <c r="D173" s="35" t="s">
        <v>573</v>
      </c>
    </row>
    <row r="174" spans="1:5">
      <c r="A174" t="s">
        <v>204</v>
      </c>
      <c r="B174" t="s">
        <v>574</v>
      </c>
      <c r="C174" s="14" t="s">
        <v>514</v>
      </c>
      <c r="D174" s="35" t="s">
        <v>575</v>
      </c>
    </row>
    <row r="175" spans="1:5">
      <c r="A175" t="s">
        <v>204</v>
      </c>
      <c r="B175" t="s">
        <v>576</v>
      </c>
      <c r="C175" s="14" t="s">
        <v>514</v>
      </c>
      <c r="D175" s="35" t="s">
        <v>577</v>
      </c>
    </row>
    <row r="176" spans="1:5">
      <c r="A176" t="s">
        <v>204</v>
      </c>
      <c r="B176" t="s">
        <v>578</v>
      </c>
      <c r="C176" s="14" t="s">
        <v>514</v>
      </c>
      <c r="D176" s="35" t="s">
        <v>579</v>
      </c>
    </row>
    <row r="177" spans="1:5">
      <c r="A177" t="s">
        <v>204</v>
      </c>
      <c r="B177" t="s">
        <v>580</v>
      </c>
      <c r="C177" s="14" t="s">
        <v>514</v>
      </c>
      <c r="D177" s="35" t="s">
        <v>581</v>
      </c>
    </row>
    <row r="178" spans="1:5">
      <c r="A178" t="s">
        <v>204</v>
      </c>
      <c r="B178" t="s">
        <v>582</v>
      </c>
      <c r="C178" s="14" t="s">
        <v>514</v>
      </c>
      <c r="D178" s="35" t="s">
        <v>583</v>
      </c>
    </row>
    <row r="179" spans="1:5">
      <c r="A179" t="s">
        <v>204</v>
      </c>
      <c r="B179" t="s">
        <v>584</v>
      </c>
      <c r="C179" s="14" t="s">
        <v>514</v>
      </c>
      <c r="D179" s="35" t="s">
        <v>585</v>
      </c>
    </row>
    <row r="180" spans="1:5">
      <c r="A180" t="s">
        <v>204</v>
      </c>
      <c r="B180" t="s">
        <v>586</v>
      </c>
      <c r="C180" s="14" t="s">
        <v>514</v>
      </c>
      <c r="D180" s="35" t="s">
        <v>587</v>
      </c>
    </row>
    <row r="181" spans="1:5">
      <c r="A181" t="s">
        <v>204</v>
      </c>
      <c r="B181" t="s">
        <v>588</v>
      </c>
      <c r="C181" s="14" t="s">
        <v>514</v>
      </c>
      <c r="D181" s="35" t="s">
        <v>589</v>
      </c>
    </row>
    <row r="182" spans="1:5">
      <c r="A182" t="s">
        <v>204</v>
      </c>
      <c r="B182" t="s">
        <v>590</v>
      </c>
      <c r="C182" s="14" t="s">
        <v>514</v>
      </c>
      <c r="D182" s="35" t="s">
        <v>591</v>
      </c>
    </row>
    <row r="183" spans="1:5">
      <c r="A183" t="s">
        <v>204</v>
      </c>
      <c r="B183" t="s">
        <v>592</v>
      </c>
      <c r="C183" s="14" t="s">
        <v>514</v>
      </c>
      <c r="D183" s="35" t="s">
        <v>593</v>
      </c>
    </row>
    <row r="184" spans="1:5">
      <c r="A184" t="s">
        <v>204</v>
      </c>
      <c r="B184" t="s">
        <v>594</v>
      </c>
      <c r="C184" s="14" t="s">
        <v>514</v>
      </c>
      <c r="D184" s="35" t="s">
        <v>595</v>
      </c>
    </row>
    <row r="185" spans="1:5">
      <c r="A185" t="s">
        <v>204</v>
      </c>
      <c r="B185" t="s">
        <v>596</v>
      </c>
      <c r="C185" s="14" t="s">
        <v>514</v>
      </c>
      <c r="D185" s="35" t="s">
        <v>597</v>
      </c>
    </row>
    <row r="186" spans="1:5">
      <c r="A186" t="s">
        <v>204</v>
      </c>
      <c r="B186" t="s">
        <v>598</v>
      </c>
      <c r="C186" s="14" t="s">
        <v>514</v>
      </c>
      <c r="D186" s="35" t="s">
        <v>599</v>
      </c>
    </row>
    <row r="187" spans="1:5">
      <c r="A187" t="s">
        <v>204</v>
      </c>
      <c r="B187" t="s">
        <v>600</v>
      </c>
      <c r="C187" s="14" t="s">
        <v>514</v>
      </c>
      <c r="D187" s="35" t="s">
        <v>601</v>
      </c>
    </row>
    <row r="188" spans="1:5">
      <c r="A188" t="s">
        <v>204</v>
      </c>
      <c r="B188" t="s">
        <v>602</v>
      </c>
      <c r="C188" s="14" t="s">
        <v>514</v>
      </c>
      <c r="D188" s="35" t="s">
        <v>603</v>
      </c>
    </row>
    <row r="189" spans="1:5">
      <c r="A189" t="s">
        <v>254</v>
      </c>
      <c r="B189" s="48" t="s">
        <v>604</v>
      </c>
      <c r="C189" s="14" t="s">
        <v>251</v>
      </c>
      <c r="D189" t="s">
        <v>605</v>
      </c>
      <c r="E189" t="s">
        <v>200</v>
      </c>
    </row>
    <row r="190" spans="1:5">
      <c r="A190" t="s">
        <v>254</v>
      </c>
      <c r="B190" s="48" t="s">
        <v>606</v>
      </c>
      <c r="C190" s="14" t="s">
        <v>251</v>
      </c>
      <c r="D190" t="s">
        <v>607</v>
      </c>
    </row>
    <row r="191" spans="1:5">
      <c r="A191" t="s">
        <v>254</v>
      </c>
      <c r="B191" s="48" t="s">
        <v>608</v>
      </c>
      <c r="C191" s="14" t="s">
        <v>251</v>
      </c>
      <c r="D191" t="s">
        <v>609</v>
      </c>
      <c r="E191" t="s">
        <v>610</v>
      </c>
    </row>
    <row r="192" spans="1:5">
      <c r="A192" t="s">
        <v>254</v>
      </c>
      <c r="B192" s="48" t="s">
        <v>611</v>
      </c>
      <c r="C192" s="14" t="s">
        <v>251</v>
      </c>
      <c r="D192" t="s">
        <v>612</v>
      </c>
      <c r="E192" t="s">
        <v>613</v>
      </c>
    </row>
    <row r="193" spans="1:4">
      <c r="A193" t="s">
        <v>254</v>
      </c>
      <c r="B193" s="48" t="s">
        <v>614</v>
      </c>
      <c r="C193" s="14" t="s">
        <v>251</v>
      </c>
      <c r="D193" t="s">
        <v>615</v>
      </c>
    </row>
    <row r="194" spans="1:4">
      <c r="A194" t="s">
        <v>254</v>
      </c>
      <c r="B194" s="48" t="s">
        <v>616</v>
      </c>
      <c r="C194" s="14" t="s">
        <v>251</v>
      </c>
      <c r="D194" t="s">
        <v>617</v>
      </c>
    </row>
    <row r="195" spans="1:4">
      <c r="A195" t="s">
        <v>254</v>
      </c>
      <c r="B195" s="48" t="s">
        <v>618</v>
      </c>
      <c r="C195" s="14" t="s">
        <v>251</v>
      </c>
      <c r="D195" t="s">
        <v>619</v>
      </c>
    </row>
    <row r="196" spans="1:4">
      <c r="A196" t="s">
        <v>254</v>
      </c>
      <c r="B196" s="48" t="s">
        <v>620</v>
      </c>
      <c r="C196" s="14" t="s">
        <v>251</v>
      </c>
      <c r="D196" t="s">
        <v>621</v>
      </c>
    </row>
    <row r="197" spans="1:4">
      <c r="A197" t="s">
        <v>254</v>
      </c>
      <c r="B197" s="48" t="s">
        <v>622</v>
      </c>
      <c r="C197" s="14" t="s">
        <v>251</v>
      </c>
      <c r="D197" t="s">
        <v>623</v>
      </c>
    </row>
    <row r="198" spans="1:4">
      <c r="A198" t="s">
        <v>254</v>
      </c>
      <c r="B198" s="48" t="s">
        <v>624</v>
      </c>
      <c r="C198" s="14" t="s">
        <v>251</v>
      </c>
      <c r="D198" t="s">
        <v>625</v>
      </c>
    </row>
    <row r="199" spans="1:4">
      <c r="A199" t="s">
        <v>254</v>
      </c>
      <c r="B199" s="48" t="s">
        <v>626</v>
      </c>
      <c r="C199" s="14" t="s">
        <v>251</v>
      </c>
      <c r="D199" t="s">
        <v>627</v>
      </c>
    </row>
  </sheetData>
  <autoFilter ref="A2:E199" xr:uid="{43585AF4-68F4-4291-9F70-7CDE9450F6A3}"/>
  <mergeCells count="1">
    <mergeCell ref="C1:D1"/>
  </mergeCells>
  <phoneticPr fontId="7" type="noConversion"/>
  <pageMargins left="0.7" right="0.7" top="0.75" bottom="0.75" header="0.3" footer="0.3"/>
  <headerFooter>
    <oddFooter>&amp;L_x000D_&amp;1#&amp;"Aptos"&amp;10&amp;K000000 TLP:AMBER - vertraulich</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513D42BAB94749BF98730FF7F7E801" ma:contentTypeVersion="12" ma:contentTypeDescription="Ein neues Dokument erstellen." ma:contentTypeScope="" ma:versionID="f3e276db18be7a6316c21a1f725b39e9">
  <xsd:schema xmlns:xsd="http://www.w3.org/2001/XMLSchema" xmlns:xs="http://www.w3.org/2001/XMLSchema" xmlns:p="http://schemas.microsoft.com/office/2006/metadata/properties" xmlns:ns2="e4361cca-6ff4-4873-ad8b-ea1762d80a5f" xmlns:ns3="4f20c337-da6c-4823-a7c5-4a1c4b26feb7" targetNamespace="http://schemas.microsoft.com/office/2006/metadata/properties" ma:root="true" ma:fieldsID="29c65a843f6d579c213d396d44b96486" ns2:_="" ns3:_="">
    <xsd:import namespace="e4361cca-6ff4-4873-ad8b-ea1762d80a5f"/>
    <xsd:import namespace="4f20c337-da6c-4823-a7c5-4a1c4b26feb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361cca-6ff4-4873-ad8b-ea1762d80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12130dff-0f6b-4ee7-bbfa-3cb338db2eb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f20c337-da6c-4823-a7c5-4a1c4b26feb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25f374b-01dc-49c5-b191-83f82b9e1e05}" ma:internalName="TaxCatchAll" ma:showField="CatchAllData" ma:web="4f20c337-da6c-4823-a7c5-4a1c4b26fe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361cca-6ff4-4873-ad8b-ea1762d80a5f">
      <Terms xmlns="http://schemas.microsoft.com/office/infopath/2007/PartnerControls"/>
    </lcf76f155ced4ddcb4097134ff3c332f>
    <TaxCatchAll xmlns="4f20c337-da6c-4823-a7c5-4a1c4b26feb7" xsi:nil="true"/>
  </documentManagement>
</p:properties>
</file>

<file path=customXml/itemProps1.xml><?xml version="1.0" encoding="utf-8"?>
<ds:datastoreItem xmlns:ds="http://schemas.openxmlformats.org/officeDocument/2006/customXml" ds:itemID="{C8B67F73-7253-48C0-A65E-735F8C24DB60}"/>
</file>

<file path=customXml/itemProps2.xml><?xml version="1.0" encoding="utf-8"?>
<ds:datastoreItem xmlns:ds="http://schemas.openxmlformats.org/officeDocument/2006/customXml" ds:itemID="{79F09F44-467F-49AF-8A23-79F8DF238682}"/>
</file>

<file path=customXml/itemProps3.xml><?xml version="1.0" encoding="utf-8"?>
<ds:datastoreItem xmlns:ds="http://schemas.openxmlformats.org/officeDocument/2006/customXml" ds:itemID="{0011B7E0-CF7E-4F87-8C69-2DB90DBADBE4}"/>
</file>

<file path=docMetadata/LabelInfo.xml><?xml version="1.0" encoding="utf-8"?>
<clbl:labelList xmlns:clbl="http://schemas.microsoft.com/office/2020/mipLabelMetadata">
  <clbl:label id="{2d8b24e5-b9a4-4e15-ba29-0d61d2b19ad1}" enabled="1" method="Standard" siteId="{7d463204-c9c5-402a-a1c6-f7bbe8e5ee1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Friedrich Dirk</dc:creator>
  <cp:keywords/>
  <dc:description/>
  <cp:lastModifiedBy/>
  <cp:revision/>
  <dcterms:created xsi:type="dcterms:W3CDTF">2024-04-27T08:51:11Z</dcterms:created>
  <dcterms:modified xsi:type="dcterms:W3CDTF">2026-03-17T07:37:11Z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0x010100A3513D42BAB94749BF98730FF7F7E801</vt:lpwstr>
  </property>
</Properties>
</file>