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ngrp.sharepoint.com/teams/AG_2311_00474_EVN/Arbeitsgruppen Dokumente/05_Architektur/01 Energielieferverträge für Organisation erstellen-ändern/Prozess Vertrag errichten - Erstinbetriebnahme bei einlangendem BELNB BU_NEU/Schnittstelle CRM - ISU (GP Generierung)/JSON/"/>
    </mc:Choice>
  </mc:AlternateContent>
  <xr:revisionPtr revIDLastSave="0" documentId="8_{1A281AA7-B328-49AF-9BB6-7AE859C36F51}" xr6:coauthVersionLast="47" xr6:coauthVersionMax="47" xr10:uidLastSave="{00000000-0000-0000-0000-000000000000}"/>
  <bookViews>
    <workbookView xWindow="-108" yWindow="-108" windowWidth="23256" windowHeight="12252" tabRatio="593" firstSheet="4" activeTab="4" xr2:uid="{655BD633-04C1-406A-9543-AC8C28F02AC4}"/>
  </bookViews>
  <sheets>
    <sheet name="Historie" sheetId="7" r:id="rId1"/>
    <sheet name="Service Bus" sheetId="3" r:id="rId2"/>
    <sheet name="Interface Rules" sheetId="4" r:id="rId3"/>
    <sheet name="Interface Mapping (obsolete)" sheetId="2" state="hidden" r:id="rId4"/>
    <sheet name="Interface Mapping" sheetId="9" r:id="rId5"/>
    <sheet name="API Response" sheetId="6" r:id="rId6"/>
    <sheet name="Enumerations obsolete" sheetId="5" state="hidden" r:id="rId7"/>
    <sheet name="Enumerations" sheetId="11" r:id="rId8"/>
  </sheets>
  <definedNames>
    <definedName name="_xlnm._FilterDatabase" localSheetId="6" hidden="1">'Enumerations obsolete'!$A$2:$E$514</definedName>
    <definedName name="_xlnm._FilterDatabase" localSheetId="4" hidden="1">'Interface Mapping'!$A$2:$P$52</definedName>
    <definedName name="_xlnm._FilterDatabase" localSheetId="3" hidden="1">'Interface Mapping (obsolete)'!$A$2:$P$50</definedName>
    <definedName name="_xlnm._FilterDatabase" localSheetId="7" hidden="1">Enumerations!$A$2:$E$535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9" l="1"/>
  <c r="E37" i="9"/>
  <c r="E35" i="9" s="1"/>
  <c r="E32" i="9"/>
  <c r="E33" i="9"/>
  <c r="E38" i="9"/>
  <c r="E34" i="9" s="1"/>
  <c r="E49" i="9"/>
  <c r="E9" i="9"/>
  <c r="E8" i="9" s="1"/>
  <c r="E10" i="9"/>
  <c r="E20" i="9"/>
  <c r="E19" i="9" s="1"/>
  <c r="E18" i="9" s="1"/>
  <c r="E17" i="9" s="1"/>
  <c r="E16" i="9" s="1"/>
  <c r="E15" i="9" s="1"/>
  <c r="E14" i="9" s="1"/>
  <c r="E13" i="9" s="1"/>
  <c r="E12" i="9" s="1"/>
  <c r="E11" i="9" s="1"/>
  <c r="E21" i="9"/>
  <c r="E31" i="9"/>
  <c r="E30" i="9" s="1"/>
  <c r="E29" i="9" s="1"/>
  <c r="E28" i="9" s="1"/>
  <c r="E27" i="9" s="1"/>
  <c r="E26" i="9" s="1"/>
  <c r="E25" i="9" s="1"/>
  <c r="E24" i="9" s="1"/>
  <c r="E23" i="9" s="1"/>
  <c r="E22" i="9" s="1"/>
  <c r="E44" i="9"/>
  <c r="E43" i="9" s="1"/>
  <c r="E42" i="9" s="1"/>
  <c r="E41" i="9" s="1"/>
  <c r="E40" i="9" s="1"/>
  <c r="E39" i="9" s="1"/>
  <c r="E46" i="9"/>
  <c r="E45" i="9" s="1"/>
  <c r="E48" i="9"/>
  <c r="E47" i="9" s="1"/>
  <c r="E56" i="9"/>
  <c r="E55" i="9" s="1"/>
  <c r="E54" i="9" s="1"/>
  <c r="E53" i="9" s="1"/>
  <c r="E52" i="9" s="1"/>
  <c r="E51" i="9" s="1"/>
  <c r="E50" i="9" s="1"/>
  <c r="E4" i="9"/>
  <c r="E7" i="9"/>
  <c r="E6" i="9" s="1"/>
  <c r="E5" i="9" s="1"/>
  <c r="E3" i="9"/>
  <c r="E30" i="2"/>
  <c r="E46" i="2"/>
  <c r="E45" i="2"/>
  <c r="E44" i="2"/>
  <c r="E43" i="2"/>
  <c r="E42" i="2"/>
  <c r="E41" i="2"/>
  <c r="E40" i="2"/>
  <c r="E39" i="2"/>
  <c r="E38" i="2"/>
  <c r="C44" i="9"/>
  <c r="C21" i="9"/>
  <c r="C20" i="9"/>
  <c r="C4" i="9"/>
  <c r="C3" i="9"/>
  <c r="E4" i="2"/>
  <c r="E8" i="2"/>
  <c r="E7" i="2" s="1"/>
  <c r="E9" i="2"/>
  <c r="E57" i="2"/>
  <c r="E53" i="2"/>
  <c r="E52" i="2" s="1"/>
  <c r="E51" i="2" s="1"/>
  <c r="E50" i="2" s="1"/>
  <c r="E49" i="2" s="1"/>
  <c r="E48" i="2" s="1"/>
  <c r="E47" i="2" s="1"/>
  <c r="E56" i="2"/>
  <c r="E55" i="2" s="1"/>
  <c r="E54" i="2" s="1"/>
  <c r="E20" i="2"/>
  <c r="E19" i="2"/>
  <c r="E31" i="2"/>
  <c r="E32" i="2"/>
  <c r="E3" i="2"/>
  <c r="C3" i="2"/>
  <c r="C4" i="2"/>
  <c r="E18" i="2"/>
  <c r="C19" i="2"/>
  <c r="C20" i="2"/>
  <c r="E37" i="2"/>
  <c r="E36" i="2"/>
  <c r="E35" i="2"/>
  <c r="E34" i="2"/>
  <c r="E33" i="2"/>
  <c r="C38" i="2"/>
  <c r="E17" i="2"/>
  <c r="E16" i="2"/>
  <c r="E15" i="2"/>
  <c r="E14" i="2"/>
  <c r="E13" i="2" s="1"/>
  <c r="E11" i="2"/>
  <c r="E10" i="2"/>
  <c r="E12" i="2"/>
  <c r="E29" i="2"/>
  <c r="E28" i="2"/>
  <c r="E27" i="2"/>
  <c r="E26" i="2"/>
  <c r="E25" i="2"/>
  <c r="E24" i="2"/>
  <c r="E23" i="2"/>
  <c r="E22" i="2"/>
  <c r="E21" i="2" s="1"/>
  <c r="E6" i="2" l="1"/>
  <c r="E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Kirchner Bernhard (Externer)</author>
  </authors>
  <commentList>
    <comment ref="N11" authorId="0" shapeId="0" xr:uid="{5053B1B2-C43B-40A1-9019-1C87A2808447}">
      <text>
        <r>
          <rPr>
            <sz val="11"/>
            <color theme="1"/>
            <rFont val="Calibri"/>
            <family val="2"/>
            <scheme val="minor"/>
          </rPr>
          <t>Kirchner Bernhard (Externer):
Enumeration - External Value?</t>
        </r>
      </text>
    </comment>
    <comment ref="L12" authorId="0" shapeId="0" xr:uid="{D00318A5-7818-47DB-AAC2-08E3F973D36E}">
      <text>
        <r>
          <rPr>
            <sz val="11"/>
            <color theme="1"/>
            <rFont val="Calibri"/>
            <family val="2"/>
            <scheme val="minor"/>
          </rPr>
          <t>Kirchner Bernhard (Externer):
ist auch eine Enumeration</t>
        </r>
      </text>
    </comment>
    <comment ref="N12" authorId="0" shapeId="0" xr:uid="{AA75BE54-5D5E-4729-B957-A0641003F69A}">
      <text>
        <r>
          <rPr>
            <sz val="11"/>
            <color theme="1"/>
            <rFont val="Calibri"/>
            <family val="2"/>
            <scheme val="minor"/>
          </rPr>
          <t>Kirchner Bernhard (Externer):
Enumeration - External Value?</t>
        </r>
      </text>
    </comment>
    <comment ref="N29" authorId="0" shapeId="0" xr:uid="{68112104-D00B-43DE-80FD-3F6786A06607}">
      <text>
        <r>
          <rPr>
            <sz val="11"/>
            <color theme="1"/>
            <rFont val="Calibri"/>
            <family val="2"/>
            <scheme val="minor"/>
          </rPr>
          <t>Kirchner Bernhard (Externer):
Enumeration - External Value?</t>
        </r>
      </text>
    </comment>
    <comment ref="N36" authorId="0" shapeId="0" xr:uid="{B871C429-B60C-4DE2-81C6-5FDA54863D67}">
      <text>
        <r>
          <rPr>
            <sz val="11"/>
            <color theme="1"/>
            <rFont val="Calibri"/>
            <family val="2"/>
            <scheme val="minor"/>
          </rPr>
          <t>Kirchner Bernhard (Externer):
Enumeration - External Value?</t>
        </r>
      </text>
    </comment>
  </commentList>
</comments>
</file>

<file path=xl/sharedStrings.xml><?xml version="1.0" encoding="utf-8"?>
<sst xmlns="http://schemas.openxmlformats.org/spreadsheetml/2006/main" count="4931" uniqueCount="1099">
  <si>
    <t>CRM2ISU - GP Update - Änderungshistorie</t>
  </si>
  <si>
    <t>Durchgeführte Änderungen an dem Interface Mapping werden hier angeführt sowie in dem Tab "Interface Mapping (Main Doc)" blau hervorgehoben. Die aktuell gültige Version ist dem Filename zu entnehmen</t>
  </si>
  <si>
    <t>Version</t>
  </si>
  <si>
    <t>Datum</t>
  </si>
  <si>
    <t>Beschreibung</t>
  </si>
  <si>
    <t>Jira Link zur US</t>
  </si>
  <si>
    <t>Änderung durchgeführt durch</t>
  </si>
  <si>
    <t>0.0</t>
  </si>
  <si>
    <t>n.a.</t>
  </si>
  <si>
    <t>Initiale Datei</t>
  </si>
  <si>
    <t> </t>
  </si>
  <si>
    <t>1.1</t>
  </si>
  <si>
    <t>Update taxnumber</t>
  </si>
  <si>
    <t>Björn Rödiger</t>
  </si>
  <si>
    <t>2.0</t>
  </si>
  <si>
    <t>ab 13.3.2025: siehe https://confluence.apps.evn.at/display/PSK/2025-02-20+Offene+Punkte+Liste</t>
  </si>
  <si>
    <t>Das aktuell "nicht relevante" Tab mit den Datenfeldern für nach den 13.03 wurde ausgeblendet</t>
  </si>
  <si>
    <t>Gerald Collmann</t>
  </si>
  <si>
    <t>2.1.</t>
  </si>
  <si>
    <t>Das Feld "Betreuer" wurde hinzugefügt inkl. Enums dazu. Diese Feld wird erst zu einem späteren Zeitpunkt umgesetzt und ist aktuell NICHT relevant</t>
  </si>
  <si>
    <t>https://confluence.apps.evn.at/pages/viewpage.action?pageId=477200394&amp;spaceKey=PSK&amp;title=2025-03-24%2BAbstimmung%2BErweiterung%2BGP%2BUpdate%2BUpsert%2BBusiness%2BPartner</t>
  </si>
  <si>
    <t>2.2</t>
  </si>
  <si>
    <t>Anpassung ChangeRequestGUID, AccountGUID, aufräumen Tabs,  Response</t>
  </si>
  <si>
    <t>Dirk Friedrich</t>
  </si>
  <si>
    <t>2.3</t>
  </si>
  <si>
    <t>Abgestimmte Version zwischen. Einizig fehlt das mappign für Betreuer (letzte Zeile)</t>
  </si>
  <si>
    <t xml:space="preserve"> Ruxy, Björn, Dirk</t>
  </si>
  <si>
    <t>2.4</t>
  </si>
  <si>
    <t>Hinzufügen Kommunikationsinformationen, Mail und Telefonnummer</t>
  </si>
  <si>
    <t>https://jira.apps.evn.at/browse/SFP-1719</t>
  </si>
  <si>
    <t>Interfaced Type: Patch</t>
  </si>
  <si>
    <t>Connection String for Service Bus DEV: Endpoint=</t>
  </si>
  <si>
    <t>Connection String for Service Bus BUILD: Endpoint=</t>
  </si>
  <si>
    <t>Connection String for Service Bus UAT: Endpoint=</t>
  </si>
  <si>
    <t>Connection String for Service Bus PROD: Endpoint=</t>
  </si>
  <si>
    <t>Topic: sbt-crmesint-essapisuinterfaces-&lt;stage&gt;</t>
  </si>
  <si>
    <r>
      <rPr>
        <b/>
        <sz val="11"/>
        <color rgb="FF000000"/>
        <rFont val="Calibri"/>
        <scheme val="minor"/>
      </rPr>
      <t>Subscription</t>
    </r>
    <r>
      <rPr>
        <sz val="11"/>
        <color rgb="FF000000"/>
        <rFont val="Calibri"/>
        <scheme val="minor"/>
      </rPr>
      <t>: sbts-updatebusinesscustomer-d365</t>
    </r>
  </si>
  <si>
    <t>Filter:</t>
  </si>
  <si>
    <t>[crmesint-source] != 'd365' AND [crmesint-operation]='updateBusinessCustomer'</t>
  </si>
  <si>
    <t xml:space="preserve">That is a custom property of the service bus message you will create and send.
ServiceBusMessage message = new ServiceBusMessage(content);
message.ApplicationProperties.Add(„crmesint-operation“, „xxx“);
 </t>
  </si>
  <si>
    <t>API Call</t>
  </si>
  <si>
    <t>Operation</t>
  </si>
  <si>
    <t>Endpoint</t>
  </si>
  <si>
    <t>https://apim-test.evn.at/crmesint/essapisu/v1/business-customers</t>
  </si>
  <si>
    <t>dev</t>
  </si>
  <si>
    <t>https://apim-dev.evn.at/crmesint/essapisu/v1/business-customers</t>
  </si>
  <si>
    <t>test</t>
  </si>
  <si>
    <t>Interface Rules</t>
  </si>
  <si>
    <t>§</t>
  </si>
  <si>
    <r>
      <rPr>
        <b/>
        <sz val="11"/>
        <color theme="1"/>
        <rFont val="Calibri"/>
        <family val="2"/>
        <scheme val="minor"/>
      </rPr>
      <t>Not all</t>
    </r>
    <r>
      <rPr>
        <sz val="11"/>
        <color theme="1"/>
        <rFont val="Calibri"/>
        <family val="2"/>
        <scheme val="minor"/>
      </rPr>
      <t xml:space="preserve"> Values in Payload are transmitted as Strings, encased by ""</t>
    </r>
  </si>
  <si>
    <r>
      <rPr>
        <b/>
        <sz val="11"/>
        <color rgb="FF000000"/>
        <rFont val="Calibri"/>
        <scheme val="minor"/>
      </rPr>
      <t xml:space="preserve">DateTime </t>
    </r>
    <r>
      <rPr>
        <sz val="11"/>
        <color rgb="FF000000"/>
        <rFont val="Calibri"/>
        <scheme val="minor"/>
      </rPr>
      <t>values are passed as JSON (String) Datetime format ISO 8601 (e.g. "2017-04-13T15:51:04Z")</t>
    </r>
  </si>
  <si>
    <r>
      <rPr>
        <b/>
        <sz val="11"/>
        <color rgb="FF000000"/>
        <rFont val="Calibri"/>
      </rPr>
      <t xml:space="preserve">Date </t>
    </r>
    <r>
      <rPr>
        <sz val="11"/>
        <color rgb="FF000000"/>
        <rFont val="Calibri"/>
      </rPr>
      <t>values are passed as JSON (String) "1983-06-03"</t>
    </r>
  </si>
  <si>
    <r>
      <rPr>
        <b/>
        <sz val="11"/>
        <color rgb="FF000000"/>
        <rFont val="Calibri"/>
        <scheme val="minor"/>
      </rPr>
      <t>Boolean</t>
    </r>
    <r>
      <rPr>
        <sz val="11"/>
        <color rgb="FF000000"/>
        <rFont val="Calibri"/>
        <scheme val="minor"/>
      </rPr>
      <t xml:space="preserve"> Values are passed always in the followign format true or false</t>
    </r>
  </si>
  <si>
    <r>
      <rPr>
        <b/>
        <sz val="11"/>
        <color rgb="FF000000"/>
        <rFont val="Calibri"/>
        <scheme val="minor"/>
      </rPr>
      <t>NULL</t>
    </r>
    <r>
      <rPr>
        <sz val="11"/>
        <color rgb="FF000000"/>
        <rFont val="Calibri"/>
        <scheme val="minor"/>
      </rPr>
      <t xml:space="preserve"> Values are passed as NULL - means Löschflag was set for the attribute</t>
    </r>
  </si>
  <si>
    <r>
      <rPr>
        <b/>
        <sz val="11"/>
        <color theme="1"/>
        <rFont val="Calibri"/>
        <family val="2"/>
        <scheme val="minor"/>
      </rPr>
      <t>Enumerated</t>
    </r>
    <r>
      <rPr>
        <sz val="11"/>
        <color theme="1"/>
        <rFont val="Calibri"/>
        <family val="2"/>
        <scheme val="minor"/>
      </rPr>
      <t xml:space="preserve"> Values are passed as Strings, exactly as presentedn in column "Enumerations"</t>
    </r>
  </si>
  <si>
    <r>
      <rPr>
        <b/>
        <sz val="11"/>
        <color theme="1"/>
        <rFont val="Calibri"/>
        <family val="2"/>
        <scheme val="minor"/>
      </rPr>
      <t>Decimal values</t>
    </r>
    <r>
      <rPr>
        <sz val="11"/>
        <color theme="1"/>
        <rFont val="Calibri"/>
        <family val="2"/>
        <scheme val="minor"/>
      </rPr>
      <t xml:space="preserve"> are represented as a number </t>
    </r>
    <r>
      <rPr>
        <sz val="11"/>
        <rFont val="Calibri"/>
        <family val="2"/>
        <scheme val="minor"/>
      </rPr>
      <t xml:space="preserve">with </t>
    </r>
    <r>
      <rPr>
        <b/>
        <sz val="11"/>
        <rFont val="Calibri"/>
        <family val="2"/>
        <scheme val="minor"/>
      </rPr>
      <t>decimalpoint</t>
    </r>
  </si>
  <si>
    <t>Dynamcics 365 to ISU - Geschäftspartner Update</t>
  </si>
  <si>
    <t>"</t>
  </si>
  <si>
    <t>line</t>
  </si>
  <si>
    <t>used</t>
  </si>
  <si>
    <t>prefix</t>
  </si>
  <si>
    <t>sample value</t>
  </si>
  <si>
    <t>JSON Sample</t>
  </si>
  <si>
    <t>occurence</t>
  </si>
  <si>
    <t>OData Bezeichnung</t>
  </si>
  <si>
    <t>Datenelement</t>
  </si>
  <si>
    <t>Datentyp</t>
  </si>
  <si>
    <t>Feldlänge/Wertebereich</t>
  </si>
  <si>
    <t>Enum</t>
  </si>
  <si>
    <t>JSON DATA TYPE (if empty=string)</t>
  </si>
  <si>
    <t>Mapping Logic from D365</t>
  </si>
  <si>
    <t>D365 Field ACCOUNT</t>
  </si>
  <si>
    <t>Notes</t>
  </si>
  <si>
    <t>{</t>
  </si>
  <si>
    <t>"Meta": {</t>
  </si>
  <si>
    <t>person/organisation</t>
  </si>
  <si>
    <t>1d471f69-969d-ee11-be37-6045bda1c84f</t>
  </si>
  <si>
    <t>1..1</t>
  </si>
  <si>
    <t>CRM_GUID</t>
  </si>
  <si>
    <t>ZCrmGuid</t>
  </si>
  <si>
    <t>CHAR</t>
  </si>
  <si>
    <t>GUID of ACCOUNT</t>
  </si>
  <si>
    <t>CHANGEREQUEST|evn_geschaeftspartnerid &gt;&gt; ACCOUNT|accountid</t>
  </si>
  <si>
    <t>businessCustomerId</t>
  </si>
  <si>
    <t>BusinessPartner</t>
  </si>
  <si>
    <t>CHANGEREQUEST|evn_geschaeftspartnerid &gt;&gt; ACCOUNT|evn_geschaeftspartnernummer</t>
  </si>
  <si>
    <t>IN</t>
  </si>
  <si>
    <t>0..1</t>
  </si>
  <si>
    <t>classification</t>
  </si>
  <si>
    <t>ZClassification</t>
  </si>
  <si>
    <t>yes</t>
  </si>
  <si>
    <t>Write External Value of</t>
  </si>
  <si>
    <t>CHANGEREQUEST|evn_acc_klassifzierung_newcode</t>
  </si>
  <si>
    <t>},</t>
  </si>
  <si>
    <t>"Name": {</t>
  </si>
  <si>
    <t>Herr</t>
  </si>
  <si>
    <t>salutation</t>
  </si>
  <si>
    <t>FormOfAddress</t>
  </si>
  <si>
    <t>CHANGEREQUEST|evn_acc_anrede_newcode</t>
  </si>
  <si>
    <t>person</t>
  </si>
  <si>
    <t>Dr.</t>
  </si>
  <si>
    <t>titlePre</t>
  </si>
  <si>
    <t>AcademicTitle</t>
  </si>
  <si>
    <t>CHANGEREQUEST|evn_acc_akademischertitel_vorn_newcode</t>
  </si>
  <si>
    <t>BA</t>
  </si>
  <si>
    <t>titlePost</t>
  </si>
  <si>
    <t>AcademicTitle2</t>
  </si>
  <si>
    <t>yes?</t>
  </si>
  <si>
    <t>CHANGEREQUEST|evn_acc_akademischertitel_nachn_newcode</t>
  </si>
  <si>
    <t>Peter</t>
  </si>
  <si>
    <t>firstName</t>
  </si>
  <si>
    <t>BU_NAMEP_F</t>
  </si>
  <si>
    <t>=</t>
  </si>
  <si>
    <t>CHANGEREQUEST|evn_acc_vorname_new</t>
  </si>
  <si>
    <t>Tosh</t>
  </si>
  <si>
    <t>lastName</t>
  </si>
  <si>
    <t>LastName</t>
  </si>
  <si>
    <t>BU_NAMEP_L</t>
  </si>
  <si>
    <t>CHANGEREQUEST|evn_acc_nachname_new</t>
  </si>
  <si>
    <t>organisation</t>
  </si>
  <si>
    <t>Peters</t>
  </si>
  <si>
    <t>organisationName1</t>
  </si>
  <si>
    <t>OrganizationBPName1</t>
  </si>
  <si>
    <t>BU_NAMEOR1</t>
  </si>
  <si>
    <t>CHANGEREQUEST|evn_acc_name1_new</t>
  </si>
  <si>
    <t>Brunnenbau</t>
  </si>
  <si>
    <t>organisationName2</t>
  </si>
  <si>
    <t>OrganizationBPName2</t>
  </si>
  <si>
    <t>CHANGEREQUEST|evn_acc_name2_new</t>
  </si>
  <si>
    <t>Gesellschaft ohne</t>
  </si>
  <si>
    <t>organisationName3</t>
  </si>
  <si>
    <t>OrganizationBPName3</t>
  </si>
  <si>
    <t>CHANGEREQUEST|evn_acc_name3_new</t>
  </si>
  <si>
    <t>Schaufel</t>
  </si>
  <si>
    <t>organisationName4</t>
  </si>
  <si>
    <t>OrganizationBPName4</t>
  </si>
  <si>
    <t>CHANGEREQUEST|evn_acc_name4_new</t>
  </si>
  <si>
    <t>"Address": {</t>
  </si>
  <si>
    <t>Langestr</t>
  </si>
  <si>
    <t>street</t>
  </si>
  <si>
    <t>to_BusinessPartnerAddress-StreetName</t>
  </si>
  <si>
    <t>AD_STREET / STRAS_GP</t>
  </si>
  <si>
    <t>CHANGEREQUEST|evn_acc_strasse_new</t>
  </si>
  <si>
    <t>houseNumber</t>
  </si>
  <si>
    <t>to_BusinessPartnerAddress-HouseNumber</t>
  </si>
  <si>
    <t>AD_HSNM1</t>
  </si>
  <si>
    <t>CHANGEREQUEST|evn_acc_hausnummer_new</t>
  </si>
  <si>
    <t>uns eck</t>
  </si>
  <si>
    <t>houseNumberSupplement</t>
  </si>
  <si>
    <t>to_BusinessPartnerAddress-HouseNumberSupplementText</t>
  </si>
  <si>
    <t>CHANGEREQUEST|evn_acc_hausnummerergaenzung_new</t>
  </si>
  <si>
    <t>postalCode</t>
  </si>
  <si>
    <t>to_BusinessPartnerAddress-PostalCode</t>
  </si>
  <si>
    <t>PSTLZ</t>
  </si>
  <si>
    <t>CHANGEREQUEST|evn_acc_plz_new</t>
  </si>
  <si>
    <t>Kingstown</t>
  </si>
  <si>
    <t>city</t>
  </si>
  <si>
    <t>to_BusinessPartnerAddress-CityName</t>
  </si>
  <si>
    <t>AD_CITY1 / ORT01_GP</t>
  </si>
  <si>
    <t>CHANGEREQUEST|evn_acc_ort_new</t>
  </si>
  <si>
    <t>Ghetto</t>
  </si>
  <si>
    <t>district</t>
  </si>
  <si>
    <t>to_BusinessPartnerAddress-HomeCityName</t>
  </si>
  <si>
    <t>CHANGEREQUEST|evn_acc_ortsteil_new</t>
  </si>
  <si>
    <t>ReaggeaPlains</t>
  </si>
  <si>
    <t>Region</t>
  </si>
  <si>
    <t>to_BusinessPartnerAddress-Region</t>
  </si>
  <si>
    <t>evn_region</t>
  </si>
  <si>
    <t>NamederRSG</t>
  </si>
  <si>
    <t>Regionalstrukturgruppe</t>
  </si>
  <si>
    <t>ZRegioGroup</t>
  </si>
  <si>
    <t>evn_regionalstrukturgruppe</t>
  </si>
  <si>
    <t>AT</t>
  </si>
  <si>
    <t>country</t>
  </si>
  <si>
    <t>to_BusinessPartnerAddress-Country</t>
  </si>
  <si>
    <t>LAND1_GP</t>
  </si>
  <si>
    <t>CHANGEREQUEST|evn_acc_land_newcode</t>
  </si>
  <si>
    <t>XXDEFAULT</t>
  </si>
  <si>
    <t>addressUsage</t>
  </si>
  <si>
    <t>to_BusinessPartnerAddress-toAddressUsage-AddressUsage</t>
  </si>
  <si>
    <t>hard code to "XXDEFAULT"</t>
  </si>
  <si>
    <t>"PoBox": {</t>
  </si>
  <si>
    <t>poBoxPostalCity</t>
  </si>
  <si>
    <t>to_BusinessPartnerAddress-POBoxDeviatingCityName</t>
  </si>
  <si>
    <t>CHANGEREQUEST|evn_acc_postfachort_new</t>
  </si>
  <si>
    <t>poBoxPostalCode</t>
  </si>
  <si>
    <t>to_BusinessPartnerAddress-POBoxPostalCode</t>
  </si>
  <si>
    <t>CHANGEREQUEST|evn_acc_postfachplz_new</t>
  </si>
  <si>
    <t>PO Box 73a</t>
  </si>
  <si>
    <t>poBox</t>
  </si>
  <si>
    <t>to_BusinessPartnerAddress-POBox</t>
  </si>
  <si>
    <t>CHANGEREQUEST|evn_acc_evn_postfach_new</t>
  </si>
  <si>
    <t>poBoxPostalCountry</t>
  </si>
  <si>
    <t>to_BusinessPartnerAddress-POBoxDeviatingCountry</t>
  </si>
  <si>
    <t>CHANGEREQUEST|evn_acc_postfachland_newcode</t>
  </si>
  <si>
    <t>KMA</t>
  </si>
  <si>
    <t>poBoxPostalRegion</t>
  </si>
  <si>
    <t>to_BusinessPartnerAddress-POBoxDeviatingRegion</t>
  </si>
  <si>
    <t>CHANGEREQUEST|evn_acc_postfachregion_new</t>
  </si>
  <si>
    <t>"Identification": {</t>
  </si>
  <si>
    <t>xxx</t>
  </si>
  <si>
    <t>identifactionType</t>
  </si>
  <si>
    <t>IdentificationType</t>
  </si>
  <si>
    <t>Write External Vaule of</t>
  </si>
  <si>
    <t>CHANGEREQUEST|evn_acc_identifikationsart_newcode</t>
  </si>
  <si>
    <t>identificationNumber</t>
  </si>
  <si>
    <t>IdentificationNumber</t>
  </si>
  <si>
    <t>CHANGEREQUEST|evn_acc_identifikationsnummer_new</t>
  </si>
  <si>
    <t>"TaxInformation": {</t>
  </si>
  <si>
    <t>AT0</t>
  </si>
  <si>
    <t>taxNumberType</t>
  </si>
  <si>
    <t>to_BusinessPartnerTax-BPTaxType</t>
  </si>
  <si>
    <t>BPTAXTYPE</t>
  </si>
  <si>
    <t>CHANGEREQUEST|evn_acc_steuernummerntyp_newcode</t>
  </si>
  <si>
    <t>ATU123213812</t>
  </si>
  <si>
    <t>taxNumber</t>
  </si>
  <si>
    <t>to_BusinessPartnerTax-TaxNumber</t>
  </si>
  <si>
    <t>CHANGEREQUEST|evn_acc_evn_uidnummer_new</t>
  </si>
  <si>
    <t>2012-04-21T18:25:43-05:00</t>
  </si>
  <si>
    <t>dateOfBirth</t>
  </si>
  <si>
    <t>BirthDate</t>
  </si>
  <si>
    <t>BU_BIRTHDT</t>
  </si>
  <si>
    <t>DATS</t>
  </si>
  <si>
    <t>CHANGEREQUEST|evn_acc_geburtsdatum_new</t>
  </si>
  <si>
    <t>orgFoundationDate</t>
  </si>
  <si>
    <t>OrganizationFoundationDate</t>
  </si>
  <si>
    <t>CHANGEREQUEST|evn_acc_gruendungsdatum_new</t>
  </si>
  <si>
    <t>industry</t>
  </si>
  <si>
    <t>to_BuPaIndustry-IndustrySector</t>
  </si>
  <si>
    <t>Get lowest Branche and write name in payload</t>
  </si>
  <si>
    <t>CHANGEREQUEST|evn_acc_oenace_newcode</t>
  </si>
  <si>
    <t>Z001</t>
  </si>
  <si>
    <t>Branchensystem</t>
  </si>
  <si>
    <t>to_BuPaIndustry-IndustrySystemType</t>
  </si>
  <si>
    <t>If Branche is filled, write "Z001"</t>
  </si>
  <si>
    <t>dateOfDeath</t>
  </si>
  <si>
    <t>CHANGEREQUEST|evn_acc_sterbedatum_new</t>
  </si>
  <si>
    <t>orgLiquidationDate</t>
  </si>
  <si>
    <t>CHANGEREQUEST|evn_acc_liquidationsdatum_new</t>
  </si>
  <si>
    <t>"Communication": {</t>
  </si>
  <si>
    <t>max@mustermann.at</t>
  </si>
  <si>
    <t>email</t>
  </si>
  <si>
    <t>+436864804805</t>
  </si>
  <si>
    <t>mobilephone</t>
  </si>
  <si>
    <t>Format IS-U?</t>
  </si>
  <si>
    <t>+4323444804805</t>
  </si>
  <si>
    <t>telephone1</t>
  </si>
  <si>
    <t>}</t>
  </si>
  <si>
    <t>CRM to ISU - Geschäftspartner Update</t>
  </si>
  <si>
    <t>accountCRMGuid</t>
  </si>
  <si>
    <t>1d471f69-969d-ee11-be37-6045bda1333</t>
  </si>
  <si>
    <t>changeRequestCRMGuid</t>
  </si>
  <si>
    <t>GUID of CHANGE REQUEST</t>
  </si>
  <si>
    <t>CHANGEREQUEST|changerequestid</t>
  </si>
  <si>
    <t>CHANGEREQUEST|evn_geschaeftspartnerid &gt;&gt; ACCOUNT|evn_isugeschaeftspartnernummer</t>
  </si>
  <si>
    <t>ZPostfixedAcademicTitle</t>
  </si>
  <si>
    <t>FirstName</t>
  </si>
  <si>
    <t>0005</t>
  </si>
  <si>
    <t>addressId</t>
  </si>
  <si>
    <t>zz1</t>
  </si>
  <si>
    <t>ADRC / ADDRNUMBER</t>
  </si>
  <si>
    <t>ACCOUNT | evn_isuadressereferenz</t>
  </si>
  <si>
    <t>Langestrasse</t>
  </si>
  <si>
    <t>1</t>
  </si>
  <si>
    <t>a</t>
  </si>
  <si>
    <t>83435</t>
  </si>
  <si>
    <t>Bad Reichenhall</t>
  </si>
  <si>
    <t>CHANGEREQUEST|evn_acc_stadt_new</t>
  </si>
  <si>
    <t>Nonn</t>
  </si>
  <si>
    <t>Bayern</t>
  </si>
  <si>
    <t>region</t>
  </si>
  <si>
    <t>CHANGEREQUEST| evn_acc_regionlist_newcode</t>
  </si>
  <si>
    <t>CHANGEREQUEST|evn_acc_email_new</t>
  </si>
  <si>
    <t>+43676333222</t>
  </si>
  <si>
    <t>phoneNumber</t>
  </si>
  <si>
    <t>CHANGEREQUEST|evn_acc_phoneumber_new</t>
  </si>
  <si>
    <t>mobileNumber</t>
  </si>
  <si>
    <t>CHANGEREQUEST|evn_acc_mobilenumber_new</t>
  </si>
  <si>
    <t>check subprocess for logic</t>
  </si>
  <si>
    <t>User Story 7379: CRMV-XXX-Deviating PO Box Logic</t>
  </si>
  <si>
    <t>check subprocess for logic
Write External Value of</t>
  </si>
  <si>
    <t>CHANGEREQUEST|evn_acc_postfachregionlist_newcode</t>
  </si>
  <si>
    <t>AT12345</t>
  </si>
  <si>
    <t>companyRegistrationNumber</t>
  </si>
  <si>
    <t>CHANGEREQUEST|evn_acc_firmenbuchnummer_new</t>
  </si>
  <si>
    <t>2025 04 15: Besprochen - (DF) CRMV-1956</t>
  </si>
  <si>
    <t>"TaxInformation": [{</t>
  </si>
  <si>
    <r>
      <rPr>
        <sz val="11"/>
        <color rgb="FF000000"/>
        <rFont val="Calibri"/>
        <scheme val="minor"/>
      </rPr>
      <t xml:space="preserve">IF </t>
    </r>
    <r>
      <rPr>
        <sz val="11"/>
        <color rgb="FFFF0000"/>
        <rFont val="Calibri"/>
        <scheme val="minor"/>
      </rPr>
      <t xml:space="preserve">taxNumber </t>
    </r>
    <r>
      <rPr>
        <sz val="11"/>
        <color rgb="FF000000"/>
        <rFont val="Calibri"/>
        <scheme val="minor"/>
      </rPr>
      <t xml:space="preserve">will be filled with data in the payload, then populate </t>
    </r>
    <r>
      <rPr>
        <sz val="11"/>
        <color rgb="FFFF0000"/>
        <rFont val="Calibri"/>
        <scheme val="minor"/>
      </rPr>
      <t>taxNumberType</t>
    </r>
    <r>
      <rPr>
        <sz val="11"/>
        <color rgb="FF000000"/>
        <rFont val="Calibri"/>
        <scheme val="minor"/>
      </rPr>
      <t xml:space="preserve"> with </t>
    </r>
    <r>
      <rPr>
        <sz val="11"/>
        <color rgb="FF00B050"/>
        <rFont val="Calibri"/>
        <scheme val="minor"/>
      </rPr>
      <t>CHANGEREQUEST|evn_acc_steuernummertyp_</t>
    </r>
    <r>
      <rPr>
        <b/>
        <u/>
        <sz val="11"/>
        <color rgb="FF00B050"/>
        <rFont val="Calibri"/>
        <scheme val="minor"/>
      </rPr>
      <t xml:space="preserve">newcode
</t>
    </r>
    <r>
      <rPr>
        <sz val="11"/>
        <color rgb="FF000000"/>
        <rFont val="Calibri"/>
        <scheme val="minor"/>
      </rPr>
      <t xml:space="preserve">IF </t>
    </r>
    <r>
      <rPr>
        <sz val="11"/>
        <color rgb="FFFF0000"/>
        <rFont val="Calibri"/>
        <scheme val="minor"/>
      </rPr>
      <t xml:space="preserve">taxNumber </t>
    </r>
    <r>
      <rPr>
        <sz val="11"/>
        <color rgb="FF000000"/>
        <rFont val="Calibri"/>
        <scheme val="minor"/>
      </rPr>
      <t xml:space="preserve">will be </t>
    </r>
    <r>
      <rPr>
        <b/>
        <i/>
        <sz val="11"/>
        <color rgb="FF000000"/>
        <rFont val="Calibri"/>
        <scheme val="minor"/>
      </rPr>
      <t xml:space="preserve">NULL </t>
    </r>
    <r>
      <rPr>
        <sz val="11"/>
        <color rgb="FF000000"/>
        <rFont val="Calibri"/>
        <scheme val="minor"/>
      </rPr>
      <t xml:space="preserve">(Löschflag) then populate </t>
    </r>
    <r>
      <rPr>
        <sz val="11"/>
        <color rgb="FFFF0000"/>
        <rFont val="Calibri"/>
        <scheme val="minor"/>
      </rPr>
      <t xml:space="preserve">taxNumberType </t>
    </r>
    <r>
      <rPr>
        <sz val="11"/>
        <color rgb="FF000000"/>
        <rFont val="Calibri"/>
        <scheme val="minor"/>
      </rPr>
      <t xml:space="preserve">with
</t>
    </r>
    <r>
      <rPr>
        <sz val="11"/>
        <color rgb="FF00B050"/>
        <rFont val="Calibri"/>
        <scheme val="minor"/>
      </rPr>
      <t>CHANGEREQUEST|evn_acc_steuernummertyp_</t>
    </r>
    <r>
      <rPr>
        <b/>
        <u/>
        <sz val="11"/>
        <color rgb="FF00B050"/>
        <rFont val="Calibri"/>
        <scheme val="minor"/>
      </rPr>
      <t>oldcode</t>
    </r>
  </si>
  <si>
    <t>}],</t>
  </si>
  <si>
    <t>1963-05-01</t>
  </si>
  <si>
    <t>Date</t>
  </si>
  <si>
    <t>017</t>
  </si>
  <si>
    <t>Won't be written into the JSON payload by CRM. Later filled by middleware.</t>
  </si>
  <si>
    <r>
      <rPr>
        <sz val="11"/>
        <color rgb="FF000000"/>
        <rFont val="Calibri"/>
        <scheme val="minor"/>
      </rPr>
      <t>Wird von Middleware gesetzt: If "</t>
    </r>
    <r>
      <rPr>
        <b/>
        <i/>
        <sz val="11"/>
        <color rgb="FF000000"/>
        <rFont val="Calibri"/>
        <scheme val="minor"/>
      </rPr>
      <t>industry</t>
    </r>
    <r>
      <rPr>
        <sz val="11"/>
        <color rgb="FF000000"/>
        <rFont val="Calibri"/>
        <scheme val="minor"/>
      </rPr>
      <t>:" is filled, write "</t>
    </r>
    <r>
      <rPr>
        <b/>
        <sz val="11"/>
        <color rgb="FF000000"/>
        <rFont val="Calibri"/>
        <scheme val="minor"/>
      </rPr>
      <t>Z001</t>
    </r>
    <r>
      <rPr>
        <sz val="11"/>
        <color rgb="FF000000"/>
        <rFont val="Calibri"/>
        <scheme val="minor"/>
      </rPr>
      <t>"</t>
    </r>
  </si>
  <si>
    <t>OrganizationLiquidationDate</t>
  </si>
  <si>
    <t>EK-101</t>
  </si>
  <si>
    <t>keyAccounter</t>
  </si>
  <si>
    <t>if data exists -&gt; send data
if not -&gt; send null</t>
  </si>
  <si>
    <t xml:space="preserve">CHANGEREQUEST|evn_geschaeftspartnerid &gt;&gt; 
ACCOUNT| evn_keyuserid &gt;&gt; 
SYSTEMUSER | evn_sapbetreuernummer
</t>
  </si>
  <si>
    <t>Entscheidung 28.05.2025 - Ruxy und Daniel sagen: Nur Key User (CRM USER) werden hier mitgeschickt.
Nicht CRM User werden nicht als "Betreuer" an ISU übertragen.
Daniel: wohl aber als CONTACTS mit entsprechender Funktion in CRM angelegt</t>
  </si>
  <si>
    <t>[</t>
  </si>
  <si>
    <t>  {</t>
  </si>
  <si>
    <t>    "PayloadName": "SendCRtoISU_ZaehlpunktZahldatenPayload",</t>
  </si>
  <si>
    <t>    "StatusCode": 202,</t>
  </si>
  <si>
    <t>    "ReasonPhrase": "Accepted",</t>
  </si>
  <si>
    <t>    "Error": null,</t>
  </si>
  <si>
    <t>    "OperationId": "5504abb8-115f-4dab-aa74-13c99c54bfaf"</t>
  </si>
  <si>
    <t>  }</t>
  </si>
  <si>
    <t>]</t>
  </si>
  <si>
    <t>Choice Name</t>
  </si>
  <si>
    <t>Choice Value</t>
  </si>
  <si>
    <t>Beschreibung (field in Interface Mapping)</t>
  </si>
  <si>
    <t>Interface Value (links vom =)</t>
  </si>
  <si>
    <t>Comment</t>
  </si>
  <si>
    <t>evn_geschaeftspartnertypcode</t>
  </si>
  <si>
    <t>Person</t>
  </si>
  <si>
    <t>Geschäftspartnertyp</t>
  </si>
  <si>
    <t>1 = Person</t>
  </si>
  <si>
    <t>Organisation</t>
  </si>
  <si>
    <t>2 = Organisation</t>
  </si>
  <si>
    <t>evn_geschaeftspartnerartcode</t>
  </si>
  <si>
    <t>GEMEINDE</t>
  </si>
  <si>
    <t>Geschäftspartnerart</t>
  </si>
  <si>
    <t>GMDE = Gemeinde</t>
  </si>
  <si>
    <t>GEW</t>
  </si>
  <si>
    <t>GW = Gewerbe</t>
  </si>
  <si>
    <t>GEW-GK</t>
  </si>
  <si>
    <t>GWGK = Gewerbe-Großkunden</t>
  </si>
  <si>
    <t>HH</t>
  </si>
  <si>
    <t>HH = Haushalt</t>
  </si>
  <si>
    <t>IND</t>
  </si>
  <si>
    <t>IND = Industrie</t>
  </si>
  <si>
    <t>KETTE</t>
  </si>
  <si>
    <t>KETT = Kettenkunden</t>
  </si>
  <si>
    <t>LAND</t>
  </si>
  <si>
    <t>LAND = Land</t>
  </si>
  <si>
    <t>LW</t>
  </si>
  <si>
    <t>LW = Landwirtschaft</t>
  </si>
  <si>
    <t>LW-IND</t>
  </si>
  <si>
    <t>LWGK = Landwirtschaft-Großkunden</t>
  </si>
  <si>
    <t>WV</t>
  </si>
  <si>
    <t>WV = Weiterverteiler</t>
  </si>
  <si>
    <t>WOWI</t>
  </si>
  <si>
    <t>WOWI = Wohnwirtschaft</t>
  </si>
  <si>
    <t>evn_evn_authorisationsgruppecode</t>
  </si>
  <si>
    <t>KG = EVN Energievertrieb GmbH</t>
  </si>
  <si>
    <t>Berechtigungsgruppe</t>
  </si>
  <si>
    <t>Bei BELNB immer KG</t>
  </si>
  <si>
    <t>KONZ = EVN Energieservices GmbH</t>
  </si>
  <si>
    <t>evn_anredecode</t>
  </si>
  <si>
    <t>Frau</t>
  </si>
  <si>
    <t>0001</t>
  </si>
  <si>
    <t>0002</t>
  </si>
  <si>
    <t>Divers</t>
  </si>
  <si>
    <t>Firma</t>
  </si>
  <si>
    <t>0003</t>
  </si>
  <si>
    <t>Verlassenschaft nach</t>
  </si>
  <si>
    <t>0007</t>
  </si>
  <si>
    <t>Null</t>
  </si>
  <si>
    <t>0006</t>
  </si>
  <si>
    <t>evn_akademischertitelvorcode</t>
  </si>
  <si>
    <t>Amtsdirektor</t>
  </si>
  <si>
    <t>external value of option</t>
  </si>
  <si>
    <t>Amtsrat</t>
  </si>
  <si>
    <t>Arch.</t>
  </si>
  <si>
    <t>Arch. Baumeister</t>
  </si>
  <si>
    <t>Arch. Dipl. Ing.</t>
  </si>
  <si>
    <t>Arch. Dipl. Ing. Dr</t>
  </si>
  <si>
    <t>Arch. Mag.</t>
  </si>
  <si>
    <t>Baumeister</t>
  </si>
  <si>
    <t>Bmstr. Dipl. Ing.</t>
  </si>
  <si>
    <t>Bmstr. Ing.</t>
  </si>
  <si>
    <t>Bürgermeister</t>
  </si>
  <si>
    <t>DDr.</t>
  </si>
  <si>
    <t>DI DI</t>
  </si>
  <si>
    <t>Dipl. HTL Ing.</t>
  </si>
  <si>
    <t>Dipl. Inf. (FH)</t>
  </si>
  <si>
    <t>Dipl. Ing.</t>
  </si>
  <si>
    <t>Dipl. Ing. (FH)</t>
  </si>
  <si>
    <t>Dipl. Ing. DDr</t>
  </si>
  <si>
    <t>Dipl. Ing. Dr.</t>
  </si>
  <si>
    <t>Dipl. Ing. Ing.</t>
  </si>
  <si>
    <t>Dipl. Päd. Ing.</t>
  </si>
  <si>
    <t>Dipl. Tierarzt</t>
  </si>
  <si>
    <t>Dipl. Volksw.</t>
  </si>
  <si>
    <t>Dipl.-Bw.</t>
  </si>
  <si>
    <t>Dipl.-Dolm.</t>
  </si>
  <si>
    <t>Dipl.-Kfm. Mag.</t>
  </si>
  <si>
    <t>Dipl.-Päd.</t>
  </si>
  <si>
    <t>Dipl.-Wirt.-Ing.(FH)</t>
  </si>
  <si>
    <t>Dipl.PT</t>
  </si>
  <si>
    <t>Dipl.Verw.Wirt (FH)</t>
  </si>
  <si>
    <t>Diplom-Fachwirt</t>
  </si>
  <si>
    <t>Diplom-Volkswirt</t>
  </si>
  <si>
    <t>Dir.</t>
  </si>
  <si>
    <t>Dir. Mag.</t>
  </si>
  <si>
    <t>Dkfm.</t>
  </si>
  <si>
    <t>Dkfm. Dr.</t>
  </si>
  <si>
    <t>Dkfm. Ing. Dr.</t>
  </si>
  <si>
    <t>Dr. Ing.</t>
  </si>
  <si>
    <t>Dr. Mag.</t>
  </si>
  <si>
    <t>Dr.med.univ.</t>
  </si>
  <si>
    <t>Gen-Dir. DIng.</t>
  </si>
  <si>
    <t>Gen.-Dir.</t>
  </si>
  <si>
    <t>Gen.-Dir. Dkfm</t>
  </si>
  <si>
    <t>Gen.-Dir. Dr.</t>
  </si>
  <si>
    <t>Hofrat</t>
  </si>
  <si>
    <t>Hofrat Dipl. Ing.</t>
  </si>
  <si>
    <t>Hofrat Dr.</t>
  </si>
  <si>
    <t>Hofrat Mag.</t>
  </si>
  <si>
    <t>Hofrat Prof.</t>
  </si>
  <si>
    <t>Ing.</t>
  </si>
  <si>
    <t>Ing. Bmstr.</t>
  </si>
  <si>
    <t>Ing. Dr.</t>
  </si>
  <si>
    <t>Ing. Ing.</t>
  </si>
  <si>
    <t>Ing. MMag.</t>
  </si>
  <si>
    <t>Ing. Mag.</t>
  </si>
  <si>
    <t>Ing. Mag. (FH)</t>
  </si>
  <si>
    <t>Ing. Mag. Dr.</t>
  </si>
  <si>
    <t>Komm.Rat</t>
  </si>
  <si>
    <t>Komm.Rat Mag. Dr.</t>
  </si>
  <si>
    <t>Konsul Ingenieur</t>
  </si>
  <si>
    <t>Labg.</t>
  </si>
  <si>
    <t>MMag.</t>
  </si>
  <si>
    <t>MMag. Dr.</t>
  </si>
  <si>
    <t>MStr.</t>
  </si>
  <si>
    <t>Mag.</t>
  </si>
  <si>
    <t>Mag. (FH)</t>
  </si>
  <si>
    <t>Mag. DDr.</t>
  </si>
  <si>
    <t>Mag. Dipl. Ing.</t>
  </si>
  <si>
    <t>Mag. Dr.</t>
  </si>
  <si>
    <t>Mag. Ing. Dr.</t>
  </si>
  <si>
    <t>Mag. Pharm.</t>
  </si>
  <si>
    <t>Mag. Phil.</t>
  </si>
  <si>
    <t>Med.Rat Dr.</t>
  </si>
  <si>
    <t>Min.Rat</t>
  </si>
  <si>
    <t>Min.Rat Dr.</t>
  </si>
  <si>
    <t>OA Dr.</t>
  </si>
  <si>
    <t>OAmtrsrat</t>
  </si>
  <si>
    <t>Ök. Rat</t>
  </si>
  <si>
    <t>OStR</t>
  </si>
  <si>
    <t>OStR Mag.</t>
  </si>
  <si>
    <t>Oberst</t>
  </si>
  <si>
    <t>Oberstleutnant</t>
  </si>
  <si>
    <t>Omed.Rat Dr.</t>
  </si>
  <si>
    <t>Pfarrer</t>
  </si>
  <si>
    <t>Prim. Dr.</t>
  </si>
  <si>
    <t>Priv.-Doz. Dr. phil.</t>
  </si>
  <si>
    <t>Prof.</t>
  </si>
  <si>
    <t>Prof. Dipl. Ing.</t>
  </si>
  <si>
    <t>Prof. Dipl. Ing. Dr.</t>
  </si>
  <si>
    <t>Prof. Dkfm.</t>
  </si>
  <si>
    <t>Prof. Dr.</t>
  </si>
  <si>
    <t>Prof. Dr. Dipl. Ing</t>
  </si>
  <si>
    <t>Prof. Ing.</t>
  </si>
  <si>
    <t>Prof. Mag.</t>
  </si>
  <si>
    <t>Prokurist</t>
  </si>
  <si>
    <t>Prälat</t>
  </si>
  <si>
    <t>Reg. Rat</t>
  </si>
  <si>
    <t>Reg. Rat Ing.</t>
  </si>
  <si>
    <t>Schulrat</t>
  </si>
  <si>
    <t>Univ. Doz. DI. Dr.</t>
  </si>
  <si>
    <t>Univ. Doz. Dr.</t>
  </si>
  <si>
    <t>Univ. Prof. Dr.</t>
  </si>
  <si>
    <t>Vet. Rat. Dr.</t>
  </si>
  <si>
    <t>Akad.Vkfm.</t>
  </si>
  <si>
    <t>Arch.Ing.Mag.</t>
  </si>
  <si>
    <t>Bmstr.Ing.Mag.</t>
  </si>
  <si>
    <t>Dipl.Ing.(FH) Dipl.ing.</t>
  </si>
  <si>
    <t>Dipl.KH-BW</t>
  </si>
  <si>
    <t>Dipl.Ing.Mag.Dr.</t>
  </si>
  <si>
    <t>Dipl.BW(FH)</t>
  </si>
  <si>
    <t>Dipl. HLFL.Ing.</t>
  </si>
  <si>
    <t>Dipl. HTL-Ing. Dipl.Ing.(FH)</t>
  </si>
  <si>
    <t>Dipl.Kfm.(FH)</t>
  </si>
  <si>
    <t>Dipl.Oec.</t>
  </si>
  <si>
    <t>Dipl.Ök.</t>
  </si>
  <si>
    <t>Dipl.Pol. </t>
  </si>
  <si>
    <t>Ing.DKfm.</t>
  </si>
  <si>
    <t>Ing.DIWI (FH)</t>
  </si>
  <si>
    <t>Mag.(FH).Mag.</t>
  </si>
  <si>
    <t>Mag.pharm.Dr.</t>
  </si>
  <si>
    <t>ADir. RRIng.</t>
  </si>
  <si>
    <t>Bez.Hptf.HR.Dr.</t>
  </si>
  <si>
    <t>Bez.Hptm.Mag.</t>
  </si>
  <si>
    <t>Bez.Hptm. wHR Dr.</t>
  </si>
  <si>
    <t>Bgm.Dipl.Ing.</t>
  </si>
  <si>
    <t>Bgm.Ing.</t>
  </si>
  <si>
    <t>Bgm.</t>
  </si>
  <si>
    <t>Bgm. Mag.</t>
  </si>
  <si>
    <t>Bgm.Dr.</t>
  </si>
  <si>
    <t>Bgm.Komm.Rat</t>
  </si>
  <si>
    <t>Bgm.Labg.</t>
  </si>
  <si>
    <t>Bgm.Labg.Ing.Mag.</t>
  </si>
  <si>
    <t>Bgm.Prä.Labg.</t>
  </si>
  <si>
    <t>Bgm.wHR Dipl.Ing.</t>
  </si>
  <si>
    <t>Bundesrat</t>
  </si>
  <si>
    <t>Bundesminister Dr.</t>
  </si>
  <si>
    <t>Dir. Dipl.Ing.</t>
  </si>
  <si>
    <t>Dir. HR</t>
  </si>
  <si>
    <t>Dir. Ing.</t>
  </si>
  <si>
    <t>Dir. Komm.Rat</t>
  </si>
  <si>
    <t>Prok.Dir. Dipl.Ing.</t>
  </si>
  <si>
    <t>Dkkff. Dkkff.</t>
  </si>
  <si>
    <t>FH-Prof. Dipl.Ing(FH)</t>
  </si>
  <si>
    <t>Gen.Dir. Dkfm.Dr.</t>
  </si>
  <si>
    <t>Gen.Dir. Mag.</t>
  </si>
  <si>
    <t>Komm.Rat Bmstr.</t>
  </si>
  <si>
    <t>Komm.Rat Dkfm.</t>
  </si>
  <si>
    <t>Komm.Rat Ing.</t>
  </si>
  <si>
    <t>Komm.Rat MMst. Ing.</t>
  </si>
  <si>
    <t>Labg. Ing.</t>
  </si>
  <si>
    <t>Labg. Mag.</t>
  </si>
  <si>
    <t>Labg. ÖKR Ing.</t>
  </si>
  <si>
    <t>Dir.Dr.Dr.</t>
  </si>
  <si>
    <t>Dir.Dr.</t>
  </si>
  <si>
    <t>NR</t>
  </si>
  <si>
    <t>NR Mag.</t>
  </si>
  <si>
    <t>NRAbg.</t>
  </si>
  <si>
    <t>NRAbg. Dkfm. Dr.</t>
  </si>
  <si>
    <t>OStR Dipl.Ing.</t>
  </si>
  <si>
    <t>Oberschulrat</t>
  </si>
  <si>
    <t>Oberschulrat Mag.</t>
  </si>
  <si>
    <t>Pater</t>
  </si>
  <si>
    <t>Pater Mag.</t>
  </si>
  <si>
    <t>Pfarrer Mag.</t>
  </si>
  <si>
    <t>Präs.Ing</t>
  </si>
  <si>
    <t>Präs.Dir.</t>
  </si>
  <si>
    <t>Prim.Ass.Prof.Dr.</t>
  </si>
  <si>
    <t>Prok.Ing.</t>
  </si>
  <si>
    <t>Prok.Mstr.Dipl.Ing.</t>
  </si>
  <si>
    <t>Prok.Dipl.Ing</t>
  </si>
  <si>
    <t>Prok.Dkfm.Dr.</t>
  </si>
  <si>
    <t>Prok.Dr.</t>
  </si>
  <si>
    <t>Prok.Bmstr.Ing.</t>
  </si>
  <si>
    <t>Prok.Ing.Dkfm.</t>
  </si>
  <si>
    <t>Prok.Mag.</t>
  </si>
  <si>
    <t>Prok.Mag.(FH)</t>
  </si>
  <si>
    <t>Stadtamtsdirektor</t>
  </si>
  <si>
    <t>Stadtamtsdirektor Mag.</t>
  </si>
  <si>
    <t>Stadtamtsdirektor Dr.</t>
  </si>
  <si>
    <t>Stadtrat</t>
  </si>
  <si>
    <t>Univ.Prof.</t>
  </si>
  <si>
    <t>VDir.</t>
  </si>
  <si>
    <t>VDir.Dipl.Ing.Dr.</t>
  </si>
  <si>
    <t>VDir.Mag.</t>
  </si>
  <si>
    <t>VDir.Dipl.Ing.</t>
  </si>
  <si>
    <t>Vorstand</t>
  </si>
  <si>
    <t>Vdir.Dr.</t>
  </si>
  <si>
    <t>Vdir.DDr.</t>
  </si>
  <si>
    <t>VDir.Dipl.Ing.Mag.</t>
  </si>
  <si>
    <t>VDir.Dipl.Ing.Mag.Dr.</t>
  </si>
  <si>
    <t>Vdir.Mag.Dr.</t>
  </si>
  <si>
    <t>Vorstandvorsitzender Dipl.Ing.</t>
  </si>
  <si>
    <t>VRektor Prof.Mag.Dr.</t>
  </si>
  <si>
    <t>Vst.</t>
  </si>
  <si>
    <t>evn_regioncode</t>
  </si>
  <si>
    <t>B</t>
  </si>
  <si>
    <t>K</t>
  </si>
  <si>
    <t>NOE</t>
  </si>
  <si>
    <t>OOE</t>
  </si>
  <si>
    <t>S</t>
  </si>
  <si>
    <t>ST</t>
  </si>
  <si>
    <t>T</t>
  </si>
  <si>
    <t>V</t>
  </si>
  <si>
    <t>W</t>
  </si>
  <si>
    <t>evn_oenacecodecode</t>
  </si>
  <si>
    <t>011</t>
  </si>
  <si>
    <t>012  Anbau mehrjähriger Pflanzen</t>
  </si>
  <si>
    <t>012</t>
  </si>
  <si>
    <t>013  Betrieb von Baumschulen sowie Anbau von Pflanzen zu Vermehrungszwecken</t>
  </si>
  <si>
    <t>013</t>
  </si>
  <si>
    <t>014  Tierhaltung</t>
  </si>
  <si>
    <t>014</t>
  </si>
  <si>
    <t>015  Gemischte Landwirtschaft</t>
  </si>
  <si>
    <t>015</t>
  </si>
  <si>
    <t>016  Erbringung von landwirtschaftlichen Dienstleistungen und nach der Ernte anfallende Tätigkeiten</t>
  </si>
  <si>
    <t>016</t>
  </si>
  <si>
    <t>017  Jagd, Fallenstellerei und damit verbundene Tätigkeiten</t>
  </si>
  <si>
    <t>021  Forstwirtschaft</t>
  </si>
  <si>
    <t>021</t>
  </si>
  <si>
    <t>022  Holzeinschlag</t>
  </si>
  <si>
    <t>022</t>
  </si>
  <si>
    <t>023  Sammeln von wildwachsenden Produkten, ohne Holz</t>
  </si>
  <si>
    <t>023</t>
  </si>
  <si>
    <t>024  Erbringung von Dienstleistungen für Forstwirtschaft und Holzeinschlag</t>
  </si>
  <si>
    <t>024</t>
  </si>
  <si>
    <t>031  Fischerei</t>
  </si>
  <si>
    <t>031</t>
  </si>
  <si>
    <t>032  Aquakultur</t>
  </si>
  <si>
    <t>032</t>
  </si>
  <si>
    <t>033  Erbringung von Dienstleistungen für Fischerei und Aquakultur</t>
  </si>
  <si>
    <t>033</t>
  </si>
  <si>
    <t>051  Steinkohlenbergbau</t>
  </si>
  <si>
    <t>051</t>
  </si>
  <si>
    <t>052  Braunkohlenbergbau</t>
  </si>
  <si>
    <t>052</t>
  </si>
  <si>
    <t>061  Gewinnung von Erdöl</t>
  </si>
  <si>
    <t>061</t>
  </si>
  <si>
    <t>062  Gewinnung von Erdgas</t>
  </si>
  <si>
    <t>062</t>
  </si>
  <si>
    <t>071  Eisenerzbergbau</t>
  </si>
  <si>
    <t>071</t>
  </si>
  <si>
    <t>072  NE-Metallerzbergbau</t>
  </si>
  <si>
    <t>072</t>
  </si>
  <si>
    <t>081  Gewinnung von Natursteinen, Kies, Sand, Ton und Kaolin</t>
  </si>
  <si>
    <t>081</t>
  </si>
  <si>
    <t>089  Sonstiger Bergbau; Gewinnung von Steinen und Erden a.n.g.</t>
  </si>
  <si>
    <t>089</t>
  </si>
  <si>
    <t>091  Erbringung von Dienstleistungen für die Gewinnung von Erdöl und Erdgas</t>
  </si>
  <si>
    <t>091</t>
  </si>
  <si>
    <t>099  Erbringung von Dienstleistungen für den sonstigen Bergbau und die Gewinnung von Steinen und Erden</t>
  </si>
  <si>
    <t>099</t>
  </si>
  <si>
    <t>101  Schlachten und Fleischverarbeitung</t>
  </si>
  <si>
    <t>102  Fischverarbeitung</t>
  </si>
  <si>
    <t>103  Obst- und Gemüseverarbeitung</t>
  </si>
  <si>
    <t>104  Herstellung von pflanzlichen und tierischen Ölen und Fetten</t>
  </si>
  <si>
    <t>105  Herstellung von Milcherzeugnissen und Speiseeis</t>
  </si>
  <si>
    <t>106  Mahl- und Schälmühlen, Herstellung von Stärke und Stärkeerzeugnissen</t>
  </si>
  <si>
    <t>107  Herstellung von Back- und Teigwaren</t>
  </si>
  <si>
    <t>108  Herstellung von sonstigen Nahrungsmitteln</t>
  </si>
  <si>
    <t>109  Herstellung von Futtermitteln</t>
  </si>
  <si>
    <t>110  Getränkeherstellung</t>
  </si>
  <si>
    <t>120  Tabakverarbeitung</t>
  </si>
  <si>
    <t>131  Spinnstoffaufbereitung und Spinnerei</t>
  </si>
  <si>
    <t>132  Weberei</t>
  </si>
  <si>
    <t>133  Veredlung von Textilien und Bekleidung</t>
  </si>
  <si>
    <t>139  Herstellung von sonstigen Textilwaren</t>
  </si>
  <si>
    <t>141  Herstellung von Bekleidung aus gewirktem und gestricktem Stoff</t>
  </si>
  <si>
    <t>142  Herstellung von sonstiger Bekleidung und Bekleidungszubehör</t>
  </si>
  <si>
    <t>151  Gerben, Färben, Zurichten von Leder und Fellen; Herstellung von Reisegepäck, Handtaschen, Sattlerwaren und Geschirren</t>
  </si>
  <si>
    <t>152  Herstellung von Schuhen</t>
  </si>
  <si>
    <t>161  Säge-, Hobel- und Holzimprägnierwerke; Bearbeitung und Veredlung von Holz</t>
  </si>
  <si>
    <t>162  Herstellung von sonstigen Holz-, Kork-, Flecht- und Korbwaren</t>
  </si>
  <si>
    <t>171  Herstellung von Holz- und Zellstoff, Papier, Karton und Pappe</t>
  </si>
  <si>
    <t>172  Herstellung von Waren aus Papier, Karton und Pappe</t>
  </si>
  <si>
    <t>181  Herstellung von Druckerzeugnissen</t>
  </si>
  <si>
    <t>182  Vervielfältigung von bespielten Ton-, Bild- und Datenträgern</t>
  </si>
  <si>
    <t>191  Kokerei</t>
  </si>
  <si>
    <t>192  Herstellung von Mineralölerzeugnissen und von fossilen Brennstoffen</t>
  </si>
  <si>
    <t>201  Herstellung von chemischen Grundstoffen, Düngemitteln und Stickstoffverbindungen, Kunststoffen in Primärformen und synthetischem Kautschuk in Primärformen</t>
  </si>
  <si>
    <t>202  Herstellung von Schädlingsbekämpfungs-, Pflanzenschutz- und Desinfektionsmitteln</t>
  </si>
  <si>
    <t>203  Herstellung von Anstrichmitteln, Druckfarben und Kitten</t>
  </si>
  <si>
    <t>204  Herstellung von Wasch-, Reinigungs- und Poliermitteln</t>
  </si>
  <si>
    <t>205  Herstellung von sonstigen chemischen Erzeugnissen</t>
  </si>
  <si>
    <t>206  Herstellung von Chemiefasern</t>
  </si>
  <si>
    <t>211  Herstellung von pharmazeutischen Grundstoffen</t>
  </si>
  <si>
    <t>212  Herstellung von pharmazeutischen Spezialitäten und sonstigen pharmazeutischen Erzeugnissen</t>
  </si>
  <si>
    <t>221  Herstellung von Gummiwaren</t>
  </si>
  <si>
    <t>222  Herstellung von Kunststoffwaren</t>
  </si>
  <si>
    <t>231  Herstellung von Glas und Glaswaren</t>
  </si>
  <si>
    <t>232  Herstellung von feuerfesten keramischen Werkstoffen und Waren</t>
  </si>
  <si>
    <t>233  Herstellung von keramischen Baumaterialien</t>
  </si>
  <si>
    <t>234  Herstellung von sonstigen Porzellan- und keramischen Erzeugnissen</t>
  </si>
  <si>
    <t>235  Herstellung von Zement, Kalk und gebranntem Gips</t>
  </si>
  <si>
    <t>236  Herstellung von Erzeugnissen aus Beton, Zement und Gips</t>
  </si>
  <si>
    <t>237  Be- und Verarbeitung von Naturwerksteinen und Natursteinen a.n.g.</t>
  </si>
  <si>
    <t>239  Herstellung von Schleifkörpern und Schleifmitteln auf Unterlage sowie sonstigen Erzeugnissen aus nichtmetallischen Mineralien a.n.g.</t>
  </si>
  <si>
    <t>241  Erzeugung von Roheisen, Stahl und Ferrolegierungen</t>
  </si>
  <si>
    <t>242  Herstellung von Stahlrohren, Rohrform-, Rohrverschluss- und Rohrverbindungsstücken aus Stahl</t>
  </si>
  <si>
    <t>243  Sonstige erste Bearbeitung von Eisen und Stahl</t>
  </si>
  <si>
    <t>244  Erzeugung und erste Bearbeitung von NE-Metallen</t>
  </si>
  <si>
    <t>245  Gießereien</t>
  </si>
  <si>
    <t>251  Stahl- und Leichtmetallbau</t>
  </si>
  <si>
    <t>252  Herstellung von Metalltanks und -behältern</t>
  </si>
  <si>
    <t>253  Herstellung von Waffen und Munition</t>
  </si>
  <si>
    <t>254  Herstellung von Schmiede-, Press-, Zieh- und Stanzteilen und pulvermetallurgischen Erzeugnissen</t>
  </si>
  <si>
    <t>255  Oberflächenveredlung und Wärmebehandlung; Metallbearbeitung a.n.g.</t>
  </si>
  <si>
    <t>256  Herstellung von Schneidwaren, Werkzeugen, Schlössern und Beschlägen aus unedlen Metallen</t>
  </si>
  <si>
    <t>259  Herstellung von sonstigen Metallwaren</t>
  </si>
  <si>
    <t>261  Herstellung von elektronischen Bauelementen und Leiterplatten</t>
  </si>
  <si>
    <t>262  Herstellung von Datenverarbeitungsgeräten und peripheren Geräten</t>
  </si>
  <si>
    <t>263  Herstellung von Geräten und Einrichtungen der Telekommunikationstechnik</t>
  </si>
  <si>
    <t>264  Herstellung von Geräten der Unterhaltungselektronik</t>
  </si>
  <si>
    <t>265  Herstellung von Mess- und Kontrollinstrumenten sowie von Uhren</t>
  </si>
  <si>
    <t>266  Herstellung von Bestrahlungs- und Elektrotherapiegeräten und elektromedizinischen Geräten</t>
  </si>
  <si>
    <t>267  Herstellung von optischen und fotografischen Instrumenten und Geräten sowie von magnetischen und optischen Datenträgern</t>
  </si>
  <si>
    <t>271  Herstellung von Elektromotoren, Generatoren, Transformatoren, Elektrizitätsverteilungs- und -schalteinrichtungen</t>
  </si>
  <si>
    <t>272  Herstellung von Batterien und Akkumulatoren</t>
  </si>
  <si>
    <t>273  Herstellung von Kabeln und elektrischem Installationsmaterial</t>
  </si>
  <si>
    <t>274  Herstellung von Lampen und Leuchten</t>
  </si>
  <si>
    <t>275  Herstellung von Haushaltsgeräten</t>
  </si>
  <si>
    <t>279  Herstellung von sonstigen elektrischen Ausrüstungen und Geräten</t>
  </si>
  <si>
    <t>281  Herstellung von nicht wirtschaftszweigspezifischen Maschinen</t>
  </si>
  <si>
    <t>282  Herstellung von sonstigen nicht wirtschaftszweigspezifischen Maschinen</t>
  </si>
  <si>
    <t>283  Herstellung von land- und forstwirtschaftlichen Maschinen</t>
  </si>
  <si>
    <t>284  Herstellung von Werkzeugmaschinen</t>
  </si>
  <si>
    <t>289  Herstellung von Maschinen für sonstige bestimmte Wirtschaftszweige</t>
  </si>
  <si>
    <t>291  Herstellung von Kraftwagen und Kraftwagenmotoren</t>
  </si>
  <si>
    <t>292  Herstellung von Karosserien, Aufbauten und Anhängern</t>
  </si>
  <si>
    <t>293  Herstellung von Teilen und Zubehör für Kraftwagen</t>
  </si>
  <si>
    <t>301  Schiff- und Bootsbau</t>
  </si>
  <si>
    <t>302  Schienenfahrzeugbau</t>
  </si>
  <si>
    <t>303  Luft- und Raumfahrzeugbau</t>
  </si>
  <si>
    <t>304  Herstellung von militärischen Kampffahrzeugen</t>
  </si>
  <si>
    <t>309  Herstellung von Beförderungsmitteln a.n.g.</t>
  </si>
  <si>
    <t>310  Herstellung von Möbeln</t>
  </si>
  <si>
    <t>321  Herstellung von Münzen, Schmuck und ähnlichen Erzeugnissen</t>
  </si>
  <si>
    <t>322  Herstellung von Musikinstrumenten</t>
  </si>
  <si>
    <t>323  Herstellung von Sportgeräten</t>
  </si>
  <si>
    <t>324  Herstellung von Spielwaren</t>
  </si>
  <si>
    <t>325  Herstellung von medizinischen und zahnmedizinischen Apparaten und Materialien</t>
  </si>
  <si>
    <t>329  Herstellung von Erzeugnissen a.n.g.</t>
  </si>
  <si>
    <t>331  Reparatur und Instandhaltung von Metallerzeugnissen, Maschinen und Ausrüstungen</t>
  </si>
  <si>
    <t>332  Installation von Industriemaschinen und -ausrüstungen</t>
  </si>
  <si>
    <t>351  Elektrizitätsversorgung</t>
  </si>
  <si>
    <t>352  Gasversorgung</t>
  </si>
  <si>
    <t>353  Wärme- und Kälteversorgung</t>
  </si>
  <si>
    <t>354  Tätigkeiten von Strom- und Erdgasmaklerinnen und -maklern</t>
  </si>
  <si>
    <t>360  Wasserversorgung</t>
  </si>
  <si>
    <t>370  Abwasserentsorgung</t>
  </si>
  <si>
    <t>381  Sammlung von Abfällen</t>
  </si>
  <si>
    <t>382  Verwertung von Abfällen</t>
  </si>
  <si>
    <t>383  Abfallbeseitigung ohne Verwertung</t>
  </si>
  <si>
    <t>390  Beseitigung von Umweltverschmutzungen und sonstige Tätigkeiten in der Abfallbewirtschaftung</t>
  </si>
  <si>
    <t>410  Hochbau</t>
  </si>
  <si>
    <t>421  Bau von Straßen und Bahnverkehrsstrecken</t>
  </si>
  <si>
    <t>422  Bau von Versorgungseinrichtungen</t>
  </si>
  <si>
    <t>429  Sonstiger Tiefbau</t>
  </si>
  <si>
    <t>431  Abbrucharbeiten und vorbereitende Baustellenarbeiten</t>
  </si>
  <si>
    <t>432  Bauinstallation</t>
  </si>
  <si>
    <t>433  Sonstiger Ausbau</t>
  </si>
  <si>
    <t>434  Spezialisierte Bautätigkeiten im Hochbau</t>
  </si>
  <si>
    <t>435  Spezialisierte Bautätigkeiten im Tiefbau</t>
  </si>
  <si>
    <t>436  Vermittlungstätigkeiten für spezialisierte Bautätigkeiten</t>
  </si>
  <si>
    <t>439  Sonstige spezialisierte Bautätigkeiten</t>
  </si>
  <si>
    <t>461  Handelsvermittlung</t>
  </si>
  <si>
    <t>462  Großhandel mit landwirtschaftlichen Grundstoffen und lebenden Tieren</t>
  </si>
  <si>
    <t>463  Großhandel mit Nahrungs- und Genussmitteln, Getränken und Tabakwaren</t>
  </si>
  <si>
    <t>464  Großhandel mit Gebrauchs- und Verbrauchsgütern</t>
  </si>
  <si>
    <t>465  Großhandel mit Geräten der Informations- und Kommunikationstechnik</t>
  </si>
  <si>
    <t>466  Großhandel mit sonstigen Maschinen, Ausrüstungen und Zubehör</t>
  </si>
  <si>
    <t>467  Großhandel mit Kraftwagen, Krafträdern, deren Teilen und Zubehör</t>
  </si>
  <si>
    <t>468  Sonstiger Großhandel</t>
  </si>
  <si>
    <t>469  Großhandel ohne ausgeprägten Schwerpunkt</t>
  </si>
  <si>
    <t>471  Einzelhandel mit Waren verschiedener Art</t>
  </si>
  <si>
    <t>472  Einzelhandel mit Nahrungs- und Genussmitteln, Getränken und Tabakwaren</t>
  </si>
  <si>
    <t>473  Einzelhandel mit Motorenkraftstoffen</t>
  </si>
  <si>
    <t>474  Einzelhandel mit Geräten der Informations- und Kommunikationstechnik</t>
  </si>
  <si>
    <t>475  Einzelhandel mit sonstigen Haushaltsgeräten, Textilien, Heimwerker- und Einrichtungsbedarf</t>
  </si>
  <si>
    <t>476  Einzelhandel mit Verlagsprodukten, Sportausrüstungen und Spielwaren</t>
  </si>
  <si>
    <t>477  Einzelhandel mit sonstigen Gütern, ohne Kraftwagen und Krafträder</t>
  </si>
  <si>
    <t>478  Einzelhandel mit Kraftwagen, Krafträdern, deren Teilen und Zubehör</t>
  </si>
  <si>
    <t>479  Vermittlungstätigkeiten für den Einzelhandel</t>
  </si>
  <si>
    <t>491  Personenbeförderung im Schienenverkehr</t>
  </si>
  <si>
    <t>492  Güterbeförderung im Schienenverkehr</t>
  </si>
  <si>
    <t>493  Sonstige Personenbeförderung im Landverkehr</t>
  </si>
  <si>
    <t>494  Güterbeförderung im Straßenverkehr, Umzugstransporte</t>
  </si>
  <si>
    <t>495  Transport in Rohrfernleitungen</t>
  </si>
  <si>
    <t>501  Personenbeförderung in der Hochsee- und Küstenschifffahrt</t>
  </si>
  <si>
    <t>502  Güterbeförderung in der Hochsee- und Küstenschifffahrt</t>
  </si>
  <si>
    <t>503  Personenbeförderung in der Binnenschifffahrt</t>
  </si>
  <si>
    <t>504  Güterbeförderung in der Binnenschifffahrt</t>
  </si>
  <si>
    <t>511  Personenbeförderung in der Luftfahrt</t>
  </si>
  <si>
    <t>512  Güterbeförderung in der Luftfahrt und Raumtransport</t>
  </si>
  <si>
    <t>521  Lagerei</t>
  </si>
  <si>
    <t>522  Erbringung von sonstigen Dienstleistungen für den Verkehr</t>
  </si>
  <si>
    <t>523  Vermittlungstätigkeiten für den Verkehr</t>
  </si>
  <si>
    <t>531  Postdienste von Universaldienstleistungsanbietern</t>
  </si>
  <si>
    <t>532  Sonstige Post-, Kurier- und Expressdienste</t>
  </si>
  <si>
    <t>533  Vermittlungstätigkeiten für Post-, Kurier- und Expressdienstleistungen</t>
  </si>
  <si>
    <t>551  Hotels, Gasthöfe und Pensionen</t>
  </si>
  <si>
    <t>552  Ferienunterkünfte und ähnliche Beherbergungsstätten</t>
  </si>
  <si>
    <t>553  Campingplätze</t>
  </si>
  <si>
    <t>554  Vermittlungstätigkeiten für Beherbergungsdienstleistungen</t>
  </si>
  <si>
    <t>559  Sonstige Beherbergungsstätten</t>
  </si>
  <si>
    <t>561  Restaurants, Gaststätten, Imbissstuben, Cafés, Eissalons u. ä.</t>
  </si>
  <si>
    <t>562  Caterer und Erbringung sonstiger Verpflegungsdienstleistungen</t>
  </si>
  <si>
    <t>563  Ausschank von Getränken</t>
  </si>
  <si>
    <t>564  Vermittlungstätigkeiten für gastronomische Dienstleistungen</t>
  </si>
  <si>
    <t>581  Verlegen von Büchern und Zeitungen sowie sonstiges Verlagswesen, ohne Software</t>
  </si>
  <si>
    <t>582  Verlegen von Software</t>
  </si>
  <si>
    <t>591  Herstellung von Filmen und Fernsehprogrammen, deren Verleih und Vertrieb, Kinos</t>
  </si>
  <si>
    <t>592  Tonstudios; Herstellung von Hörfunkbeiträgen; Verlegen von bespielten Tonträgern und Musikalien</t>
  </si>
  <si>
    <t>601  Hörfunkveranstalter und Verbreitung von Audioinhalten</t>
  </si>
  <si>
    <t>602  Fernsehveranstalter und Verbreitung von Videoinhalten</t>
  </si>
  <si>
    <t>603  Nachrichtenagenturen und sonstige Verbreitung von Medieninhalten</t>
  </si>
  <si>
    <t>611  Leitungsgebundene, drahtlose und satellitengestützte Telekommunikation</t>
  </si>
  <si>
    <t>612  Wiederverkaufs- und Vermittlungstätigkeiten für die Telekommunikation</t>
  </si>
  <si>
    <t>619  Sonstige Telekommunikation</t>
  </si>
  <si>
    <t>621  Programmierungstätigkeiten</t>
  </si>
  <si>
    <t>622  Erbringung von Dienstleistungen der IT-Beratung sowie des Betriebs von Datenverarbeitungseinrichtungen</t>
  </si>
  <si>
    <t>629  Erbringung von sonstigen Dienstleistungen der Informationstechnologie</t>
  </si>
  <si>
    <t>631  Datenverarbeitung, Hosting und damit verbundene Tätigkeiten</t>
  </si>
  <si>
    <t>639  Web-Suchportale und Erbringung von sonstigen Informationsdienstleistungen</t>
  </si>
  <si>
    <t>641  Zentralbanken und Kreditinstitute</t>
  </si>
  <si>
    <t>642  Beteiligungsgesellschaften und Finanzierungs-Conduits</t>
  </si>
  <si>
    <t>643  Treuhand- und sonstige Fonds u. ä. Finanzinstitutionen</t>
  </si>
  <si>
    <t>649  Sonstige Finanzierungsinstitutionen</t>
  </si>
  <si>
    <t>651  Versicherungen</t>
  </si>
  <si>
    <t>652  Rückversicherungen</t>
  </si>
  <si>
    <t>653  Pensionskassen und Pensionsfonds</t>
  </si>
  <si>
    <t>661  Mit Finanzdienstleistungen verbundene Tätigkeiten</t>
  </si>
  <si>
    <t>662  Mit Versicherungsdienstleistungen und Pensionskassen verbundene Tätigkeiten</t>
  </si>
  <si>
    <t>663  Fondsmanagement</t>
  </si>
  <si>
    <t>681  Kauf und Verkauf von eigenen Grundstücken, Gebäuden und Wohnungen sowie Erschließung von Grundstücken</t>
  </si>
  <si>
    <t>682  Vermietung, Verpachtung von eigenen oder geleasten Grundstücken, Gebäuden und Wohnungen</t>
  </si>
  <si>
    <t>683  Tätigkeiten für das Grundstücks- und Wohnungswesen für Dritte</t>
  </si>
  <si>
    <t>691  Rechtsberatung</t>
  </si>
  <si>
    <t>692  Wirtschaftsprüfung und Steuerberatung; Buchführung</t>
  </si>
  <si>
    <t>701  Verwaltung und Führung von Unternehmen und Betrieben</t>
  </si>
  <si>
    <t>702  Unternehmensberatung</t>
  </si>
  <si>
    <t>711  Tätigkeiten von Architektur- und Ingenieurbüros</t>
  </si>
  <si>
    <t>712  Technische, physikalische und chemische Untersuchung</t>
  </si>
  <si>
    <t>721  Forschung und Entwicklung im Bereich Natur-, Ingenieur-, Agrarwissenschaften und Medizin</t>
  </si>
  <si>
    <t>722  Forschung und Entwicklung im Bereich Rechts-, Wirtschafts- und Sozialwissenschaften sowie im Bereich Sprach-, Kultur- und Kunstwissenschaften</t>
  </si>
  <si>
    <t>731  Werbung</t>
  </si>
  <si>
    <t>732  Markt- und Meinungsforschung</t>
  </si>
  <si>
    <t>733  Public-Relations-Beratung</t>
  </si>
  <si>
    <t>741  Ateliers für Textil-, Schmuck-, Grafik- u. ä. Design</t>
  </si>
  <si>
    <t>742  Fotografie und Fotolabors</t>
  </si>
  <si>
    <t>743  Übersetzen und Dolmetschen</t>
  </si>
  <si>
    <t>749  Sonstige wissenschaftliche und technische Tätigkeiten a.n.g.</t>
  </si>
  <si>
    <t>750  Veterinärwesen</t>
  </si>
  <si>
    <t>771  Vermietung von Kraftwagen</t>
  </si>
  <si>
    <t>772  Vermietung von Gebrauchsgütern</t>
  </si>
  <si>
    <t>773  Vermietung von Maschinen, Geräten und sonstigen beweglichen Sachen</t>
  </si>
  <si>
    <t>774  Leasing von nichtfinanziellen immateriellen Vermögensgütern, ohne Copyrights</t>
  </si>
  <si>
    <t>775  Vermittlungstätigkeiten für die Vermietung und das Leasing von beweglichen Sachen und nichtfinanziellen immateriellen Vermögenswerten</t>
  </si>
  <si>
    <t>781  Vermittlung von Arbeitskräften</t>
  </si>
  <si>
    <t>782  Überlassung von Arbeitskräften und sonstige Personaldienstleistungen</t>
  </si>
  <si>
    <t>791  Reisebüros und Reiseveranstalter</t>
  </si>
  <si>
    <t>799  Erbringung sonstiger Reservierungsdienstleistungen</t>
  </si>
  <si>
    <t>800  Wach- und Sicherheitsdienste sowie Detekteien</t>
  </si>
  <si>
    <t>811  Hausmeisterdienste</t>
  </si>
  <si>
    <t>812  Reinigung von Gebäuden, Straßen und Verkehrsmitteln</t>
  </si>
  <si>
    <t>813  Garten- und Landschaftsbau sowie Erbringung von sonstigen gärtnerischen Dienstleistungen</t>
  </si>
  <si>
    <t>821  Sekretariats- und Schreibdienste, Copy-Shops</t>
  </si>
  <si>
    <t>822  Call Centers</t>
  </si>
  <si>
    <t>823  Messe-, Kongress- und Business-Event-Veranstalter</t>
  </si>
  <si>
    <t>824  Vermittlungstätigkeiten für die Erbringung von wirtschaftlichen Dienstleistungen für Unternehmen und Privatpersonen a.n.g.</t>
  </si>
  <si>
    <t>829  Erbringung wirtschaftlicher Dienstleistungen für Unternehmen und Privatpersonen a.n.g.</t>
  </si>
  <si>
    <t>841  Öffentliche Verwaltung</t>
  </si>
  <si>
    <t>842  Auswärtige Angelegenheiten, Verteidigung, Justiz, öffentliche Sicherheit und Ordnung</t>
  </si>
  <si>
    <t>843  Sozialversicherung</t>
  </si>
  <si>
    <t>851  Kindergärten und Vorschulen</t>
  </si>
  <si>
    <t>852  Volksschulen</t>
  </si>
  <si>
    <t>853  Weiterführende Schulen und postsekundärer, nicht tertiärer Unterricht</t>
  </si>
  <si>
    <t>854  Tertiärer Unterricht</t>
  </si>
  <si>
    <t>855  Sonstiger Unterricht</t>
  </si>
  <si>
    <t>856  Erbringung von Dienstleistungen für Erziehung und Unterricht</t>
  </si>
  <si>
    <t>861  Krankenhäuser</t>
  </si>
  <si>
    <t>862  Arzt- und Zahnarztpraxen</t>
  </si>
  <si>
    <t>869  Sonstiges Gesundheitswesen</t>
  </si>
  <si>
    <t>871  Pflegeheime</t>
  </si>
  <si>
    <t>872  Stationäre Einrichtungen zur psychosozialen Betreuung, Suchtbekämpfung</t>
  </si>
  <si>
    <t>873  Seniorenwohnheime und Wohnheime für Menschen mit Behinderung</t>
  </si>
  <si>
    <t>879  Sonstige Heime, ohne Erholungs- und Ferienheime, und Tätigkeiten für stationäre Betreuung</t>
  </si>
  <si>
    <t>881  Soziale Betreuung von älteren Menschen und von Menschen mit Behinderung</t>
  </si>
  <si>
    <t>889  Sonstiges Sozialwesen, ohne Heime</t>
  </si>
  <si>
    <t>901  Kunstschaffende Tätigkeiten</t>
  </si>
  <si>
    <t>902  Darstellende Kunst</t>
  </si>
  <si>
    <t>903  Erbringung von Dienstleistungen für kunstschaffende und darstellende Künste</t>
  </si>
  <si>
    <t>911  Bibliotheken und Archive</t>
  </si>
  <si>
    <t>912  Museen, Sammlungen, historische Stätten und Denkmäler</t>
  </si>
  <si>
    <t>913  Konservierung, Restaurierung und sonstige unterstützende Tätigkeiten für das kulturelle Erbe</t>
  </si>
  <si>
    <t>914  Botanische und zoologische Gärten sowie Naturparks</t>
  </si>
  <si>
    <t>920  Spiel-, Wett- und Lotteriewesen</t>
  </si>
  <si>
    <t>931  Erbringung von Dienstleistungen des Sports</t>
  </si>
  <si>
    <t>932  Erbringung von sonstigen Dienstleistungen der Unterhaltung und der Erholung</t>
  </si>
  <si>
    <t>941  Wirtschafts- und Arbeitgeberverbände, Berufsorganisationen</t>
  </si>
  <si>
    <t>942  Arbeitnehmervereinigungen</t>
  </si>
  <si>
    <t>949  Kirchliche Vereinigungen; politische Parteien sowie sonstige Interessenvertretungen und Vereinigungen</t>
  </si>
  <si>
    <t>951  Reparatur und Instandhaltung von Datenverarbeitungs- und Telekommunikationsgeräten</t>
  </si>
  <si>
    <t>952  Reparatur und Instandhaltung von Gebrauchsgütern</t>
  </si>
  <si>
    <t>953  Reparatur und Instandhaltung von Kraftwagen und Krafträdern</t>
  </si>
  <si>
    <t>954  Vermittlungstätigkeiten für die Reparatur und Instandhaltung von Datenverarbeitungsgeräten und Gebrauchsgütern sowie von Kraftwagen und Krafträdern</t>
  </si>
  <si>
    <t>961  Wäscherei und chemische Reinigung</t>
  </si>
  <si>
    <t>962  Frisör- und Kosmetiksalons, Day Spas u. ä.</t>
  </si>
  <si>
    <t>963  Bestattungswesen</t>
  </si>
  <si>
    <t>964  Vermittlungstätigkeiten für überwiegend persönliche Dienstleistungen</t>
  </si>
  <si>
    <t>969  Erbringung von sonstigen überwiegend persönlichen Dienstleistungen</t>
  </si>
  <si>
    <t>970  Private Haushalte mit Hauspersonal</t>
  </si>
  <si>
    <t>981  Herstellung von Waren durch private Haushalte für den Eigenbedarf ohne ausgeprägten Schwerpunkt</t>
  </si>
  <si>
    <t>982  Erbringungen von Dienstleistungen durch private Haushalte für den Eigenbedarf ohne ausgeprägten Schwerpunkt</t>
  </si>
  <si>
    <t>990  Exterritoriale Organisationen und Körperschaften</t>
  </si>
  <si>
    <t>evn_akademischertitelnachcode</t>
  </si>
  <si>
    <t>MA</t>
  </si>
  <si>
    <t>MSc</t>
  </si>
  <si>
    <t>BSc</t>
  </si>
  <si>
    <t>PhD</t>
  </si>
  <si>
    <t>Dr. rer. nat.</t>
  </si>
  <si>
    <t>Dr. techn.</t>
  </si>
  <si>
    <t>Dr. rer. soc. oec.</t>
  </si>
  <si>
    <t>Dr. med.Gs</t>
  </si>
  <si>
    <t>Dr. med. vet.</t>
  </si>
  <si>
    <t>Dr. med. dent.</t>
  </si>
  <si>
    <t>Dr. theol.</t>
  </si>
  <si>
    <t>Dr. iur.</t>
  </si>
  <si>
    <t>DBA</t>
  </si>
  <si>
    <t>EdD</t>
  </si>
  <si>
    <t>BA MA</t>
  </si>
  <si>
    <t>BA MSc.</t>
  </si>
  <si>
    <t>Bakk. Phil.</t>
  </si>
  <si>
    <t>Bakk. techn.</t>
  </si>
  <si>
    <t>BBA</t>
  </si>
  <si>
    <t>B.Ed.</t>
  </si>
  <si>
    <t>B.Ed. M.ed.</t>
  </si>
  <si>
    <t>MBA</t>
  </si>
  <si>
    <t>BMA</t>
  </si>
  <si>
    <t>MAS</t>
  </si>
  <si>
    <t>MBA MPA ak. Mngr.</t>
  </si>
  <si>
    <t>MBA BA</t>
  </si>
  <si>
    <t>MBA MAS</t>
  </si>
  <si>
    <t>MPA MBA</t>
  </si>
  <si>
    <t>MSc. (FH) MBA</t>
  </si>
  <si>
    <t>evn_steuernummerntypcode</t>
  </si>
  <si>
    <t>AT0 = Österreich: Umsatzsteuer-Id-Nr.</t>
  </si>
  <si>
    <t>AT5 = Abgabenkontonummer</t>
  </si>
  <si>
    <t>CH1 = Schweiz: UID-Nummer</t>
  </si>
  <si>
    <t>DE0 = Deutschland: Umsatzsteuer-IdentNummer</t>
  </si>
  <si>
    <t>FI0 = Finnland: Umsatzsteuer-IdentNummer</t>
  </si>
  <si>
    <t>FR0 = Frankreich: Umsatzsteuer-IdentNummer</t>
  </si>
  <si>
    <t>GR0 = Griechenland: Umsatzsteuer-IdentNummer</t>
  </si>
  <si>
    <t>IT0 = Italien: Umsatzsteuer-IdentNummer</t>
  </si>
  <si>
    <t>LU0 = Luxemburg: Umsatzsteuer-IdentNummer</t>
  </si>
  <si>
    <t>NL0 = Niederlande: Umsatzsteuer-IdentNummer</t>
  </si>
  <si>
    <t>SE0 = Schweden: Umsatzsteuer-IdentNummer</t>
  </si>
  <si>
    <t>evn_evn_klassifzierungcode</t>
  </si>
  <si>
    <t>AK</t>
  </si>
  <si>
    <t>BE</t>
  </si>
  <si>
    <t>EW</t>
  </si>
  <si>
    <t>GV</t>
  </si>
  <si>
    <t>VL</t>
  </si>
  <si>
    <t>evn_evn_identifikationsartcode</t>
  </si>
  <si>
    <t>ZPERS</t>
  </si>
  <si>
    <t>ZFFG</t>
  </si>
  <si>
    <t>ZFIRMN</t>
  </si>
  <si>
    <t>ZLFBIS</t>
  </si>
  <si>
    <t>evn_landcode</t>
  </si>
  <si>
    <t>AT = Österreich</t>
  </si>
  <si>
    <t>AU = Australien</t>
  </si>
  <si>
    <t>BA = Bosnien-Herz.</t>
  </si>
  <si>
    <t>BE = Belgien</t>
  </si>
  <si>
    <t>BG = Bulgarien</t>
  </si>
  <si>
    <t>CA = Kanada</t>
  </si>
  <si>
    <t>CH = Schweiz</t>
  </si>
  <si>
    <t>CZ = Tschechien</t>
  </si>
  <si>
    <t>DE = Deutschland</t>
  </si>
  <si>
    <t>DK = Dänemark</t>
  </si>
  <si>
    <t>EE = Estland</t>
  </si>
  <si>
    <t>EG = Ägypten</t>
  </si>
  <si>
    <t>ES = Spanien</t>
  </si>
  <si>
    <t>FI = Finnland</t>
  </si>
  <si>
    <t>FR = Frankreich</t>
  </si>
  <si>
    <t>GB = Verein. Königr.</t>
  </si>
  <si>
    <t>GR = Griechenland</t>
  </si>
  <si>
    <t>HR = Kroatien</t>
  </si>
  <si>
    <t>HU = Ungarn</t>
  </si>
  <si>
    <t>IL = Israel</t>
  </si>
  <si>
    <t>IT = Italien</t>
  </si>
  <si>
    <t>KE = Kenia</t>
  </si>
  <si>
    <t>LI = Liechtenstein</t>
  </si>
  <si>
    <t>LU = Luxemburg</t>
  </si>
  <si>
    <t>LV = Lettland</t>
  </si>
  <si>
    <t>MC = Monaco</t>
  </si>
  <si>
    <t>MK = Nordmazedonien</t>
  </si>
  <si>
    <t>MT = Malta</t>
  </si>
  <si>
    <t>MX = Mexiko</t>
  </si>
  <si>
    <t>NA = Namibia</t>
  </si>
  <si>
    <t>NL = Niederlande</t>
  </si>
  <si>
    <t>NO = Norwegen</t>
  </si>
  <si>
    <t>PL = Polen</t>
  </si>
  <si>
    <t>PT = Portugal</t>
  </si>
  <si>
    <t>RO = Rumänien</t>
  </si>
  <si>
    <t>RU = Russische Foed.</t>
  </si>
  <si>
    <t>SE = Schweden</t>
  </si>
  <si>
    <t>SI = Slowenien</t>
  </si>
  <si>
    <t>SK = Slowakei</t>
  </si>
  <si>
    <t>TH = Thailand</t>
  </si>
  <si>
    <t>TR = Türkei</t>
  </si>
  <si>
    <t>UA = Ukraine</t>
  </si>
  <si>
    <t>UG = Uganda</t>
  </si>
  <si>
    <t>US = USA</t>
  </si>
  <si>
    <t>ZA = Südafrika</t>
  </si>
  <si>
    <t>ACHTUNG</t>
  </si>
  <si>
    <t>Beschluss</t>
  </si>
  <si>
    <t>Erwachsenenvertretung</t>
  </si>
  <si>
    <t>Grundversorgung</t>
  </si>
  <si>
    <t>VERLASSENSCHAFT</t>
  </si>
  <si>
    <t>Burgenland</t>
  </si>
  <si>
    <t>region / poBoxPostalRegion</t>
  </si>
  <si>
    <t>Kärnten</t>
  </si>
  <si>
    <t>Niederösterreich</t>
  </si>
  <si>
    <t>Oberösterreich</t>
  </si>
  <si>
    <t>Salzburg</t>
  </si>
  <si>
    <t>Steiermark</t>
  </si>
  <si>
    <t>Tirol</t>
  </si>
  <si>
    <t>Vorarlberg</t>
  </si>
  <si>
    <t>Wien</t>
  </si>
  <si>
    <t>Anbau ein- und zweijähriger Pflanzen</t>
  </si>
  <si>
    <t>Österreich:Umsatzsteuer-Id-Nr.</t>
  </si>
  <si>
    <t>Abgabenkontonummer</t>
  </si>
  <si>
    <t>AT5</t>
  </si>
  <si>
    <t>Schweiz:UID-Nummer</t>
  </si>
  <si>
    <t>CH1</t>
  </si>
  <si>
    <t>Deutschland:Umsatzsteuer-IdentNummer</t>
  </si>
  <si>
    <t>DE0</t>
  </si>
  <si>
    <t>Finnland:Umsatzsteuer-IdentNummer</t>
  </si>
  <si>
    <t>FI0</t>
  </si>
  <si>
    <t>Frankreich:Umsatzsteuer-IdentNummer</t>
  </si>
  <si>
    <t>FR0</t>
  </si>
  <si>
    <t>Griechenland:Umsatzsteuer-IdentNummer</t>
  </si>
  <si>
    <t>GR0</t>
  </si>
  <si>
    <t>Italien:Umsatzsteuer-IdentNummer</t>
  </si>
  <si>
    <t>IT0</t>
  </si>
  <si>
    <t>Luxemburg:Umsatzsteuer-IdentNummer</t>
  </si>
  <si>
    <t>LU0</t>
  </si>
  <si>
    <t>Niederlande:Umsatzsteuer-IdentNummer</t>
  </si>
  <si>
    <t>NL0</t>
  </si>
  <si>
    <t>Schweden:Umsatzsteuer-IdentNummer</t>
  </si>
  <si>
    <t>SE0</t>
  </si>
  <si>
    <t>Österreich</t>
  </si>
  <si>
    <t>Australien</t>
  </si>
  <si>
    <t>AU</t>
  </si>
  <si>
    <t>Bosnien-Herz.</t>
  </si>
  <si>
    <t>Belgien</t>
  </si>
  <si>
    <t>Bulgarien</t>
  </si>
  <si>
    <t>BG</t>
  </si>
  <si>
    <t>Kanada</t>
  </si>
  <si>
    <t>CA</t>
  </si>
  <si>
    <t>Schweiz</t>
  </si>
  <si>
    <t>CH</t>
  </si>
  <si>
    <t>Tschechien</t>
  </si>
  <si>
    <t>CZ</t>
  </si>
  <si>
    <t>Deutschland</t>
  </si>
  <si>
    <t>DE</t>
  </si>
  <si>
    <t>Dänemark</t>
  </si>
  <si>
    <t>DK</t>
  </si>
  <si>
    <t>Estland</t>
  </si>
  <si>
    <t>EE</t>
  </si>
  <si>
    <t>Ägypten</t>
  </si>
  <si>
    <t>EG</t>
  </si>
  <si>
    <t>Spanien</t>
  </si>
  <si>
    <t>ES</t>
  </si>
  <si>
    <t>Finnland</t>
  </si>
  <si>
    <t>FI</t>
  </si>
  <si>
    <t>Frankreich</t>
  </si>
  <si>
    <t>FR</t>
  </si>
  <si>
    <t>Verein. Königr.</t>
  </si>
  <si>
    <t>GB</t>
  </si>
  <si>
    <t>Griechenland</t>
  </si>
  <si>
    <t>GR</t>
  </si>
  <si>
    <t>Kroatien</t>
  </si>
  <si>
    <t>HR</t>
  </si>
  <si>
    <t>Ungarn</t>
  </si>
  <si>
    <t>HU</t>
  </si>
  <si>
    <t>Israel</t>
  </si>
  <si>
    <t>IL</t>
  </si>
  <si>
    <t>Italien</t>
  </si>
  <si>
    <t>IT</t>
  </si>
  <si>
    <t>Kenia</t>
  </si>
  <si>
    <t>KE</t>
  </si>
  <si>
    <t>Liechtenstein</t>
  </si>
  <si>
    <t>LI</t>
  </si>
  <si>
    <t>Luxemburg</t>
  </si>
  <si>
    <t>LU</t>
  </si>
  <si>
    <t>Lettland</t>
  </si>
  <si>
    <t>LV</t>
  </si>
  <si>
    <t>Monaco</t>
  </si>
  <si>
    <t>MC</t>
  </si>
  <si>
    <t>Nordmazedonien</t>
  </si>
  <si>
    <t>MK</t>
  </si>
  <si>
    <t>Malta</t>
  </si>
  <si>
    <t>MT</t>
  </si>
  <si>
    <t>Mexiko</t>
  </si>
  <si>
    <t>MX</t>
  </si>
  <si>
    <t>Namibia</t>
  </si>
  <si>
    <t>NA</t>
  </si>
  <si>
    <t>Niederlande</t>
  </si>
  <si>
    <t>NL</t>
  </si>
  <si>
    <t>Norwegen</t>
  </si>
  <si>
    <t>NO</t>
  </si>
  <si>
    <t>Polen</t>
  </si>
  <si>
    <t>PL</t>
  </si>
  <si>
    <t>Portugal</t>
  </si>
  <si>
    <t>PT</t>
  </si>
  <si>
    <t>Rumänien</t>
  </si>
  <si>
    <t>RO</t>
  </si>
  <si>
    <t>Russische Foed.</t>
  </si>
  <si>
    <t>RU</t>
  </si>
  <si>
    <t>Schweden</t>
  </si>
  <si>
    <t>SE</t>
  </si>
  <si>
    <t>Slowenien</t>
  </si>
  <si>
    <t>SI</t>
  </si>
  <si>
    <t>Slowakei</t>
  </si>
  <si>
    <t>SK</t>
  </si>
  <si>
    <t>Thailand</t>
  </si>
  <si>
    <t>TH</t>
  </si>
  <si>
    <t>Türkei</t>
  </si>
  <si>
    <t>TR</t>
  </si>
  <si>
    <t>Ukraine</t>
  </si>
  <si>
    <t>UA</t>
  </si>
  <si>
    <t>Uganda</t>
  </si>
  <si>
    <t>UG</t>
  </si>
  <si>
    <t>USA</t>
  </si>
  <si>
    <t>US</t>
  </si>
  <si>
    <t>Südafrika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</si>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</sst>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ptos Narrow"/>
      <family val="2"/>
    </font>
    <font>
      <sz val="11"/>
      <color rgb="FF000000"/>
      <name val="Aptos Narrow"/>
      <family val="2"/>
    </font>
    <font>
      <i/>
      <sz val="11"/>
      <color theme="2" tint="-9.9978637043366805E-2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charset val="1"/>
    </font>
    <font>
      <sz val="11"/>
      <color rgb="FF000000"/>
      <name val="Calibri"/>
      <charset val="1"/>
    </font>
    <font>
      <sz val="8"/>
      <color rgb="FF000000"/>
      <name val="Arial"/>
      <charset val="1"/>
    </font>
    <font>
      <sz val="11"/>
      <color rgb="FFBFBFBF"/>
      <name val="Calibri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FFFFFF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8"/>
      <color theme="0"/>
      <name val="Calibri"/>
      <scheme val="minor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z val="11"/>
      <color rgb="FF222222"/>
      <name val="Segoe UI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b/>
      <i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B050"/>
      <name val="Calibri"/>
      <scheme val="minor"/>
    </font>
    <font>
      <b/>
      <u/>
      <sz val="11"/>
      <color rgb="FF00B05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0" fillId="0" borderId="2" xfId="0" applyBorder="1"/>
    <xf numFmtId="0" fontId="0" fillId="0" borderId="3" xfId="0" applyBorder="1" applyAlignment="1">
      <alignment wrapText="1"/>
    </xf>
    <xf numFmtId="0" fontId="2" fillId="0" borderId="1" xfId="0" applyFont="1" applyBorder="1"/>
    <xf numFmtId="0" fontId="9" fillId="4" borderId="0" xfId="0" applyFont="1" applyFill="1" applyAlignment="1">
      <alignment horizontal="center" vertical="center" wrapText="1"/>
    </xf>
    <xf numFmtId="0" fontId="10" fillId="0" borderId="0" xfId="0" applyFont="1"/>
    <xf numFmtId="0" fontId="10" fillId="5" borderId="0" xfId="0" applyFont="1" applyFill="1"/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3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0" fillId="7" borderId="0" xfId="0" applyFill="1"/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0" fillId="8" borderId="0" xfId="0" applyFill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 quotePrefix="1"/>
    <xf numFmtId="0" fontId="14" fillId="6" borderId="0" xfId="0" applyFont="1" applyFill="1"/>
    <xf numFmtId="0" fontId="11" fillId="0" borderId="0" xfId="0" applyFont="1" applyAlignment="1">
      <alignment horizontal="center" vertical="center" wrapText="1"/>
    </xf>
    <xf numFmtId="0" fontId="13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1"/>
    <xf numFmtId="0" fontId="13" fillId="0" borderId="2" xfId="0" applyFont="1" applyBorder="1"/>
    <xf numFmtId="0" fontId="22" fillId="0" borderId="0" xfId="0" applyFont="1"/>
    <xf numFmtId="0" fontId="24" fillId="10" borderId="4" xfId="0" applyFont="1" applyFill="1" applyBorder="1"/>
    <xf numFmtId="0" fontId="24" fillId="10" borderId="5" xfId="0" applyFont="1" applyFill="1" applyBorder="1"/>
    <xf numFmtId="0" fontId="24" fillId="10" borderId="6" xfId="0" applyFont="1" applyFill="1" applyBorder="1"/>
    <xf numFmtId="0" fontId="25" fillId="0" borderId="7" xfId="0" applyFont="1" applyBorder="1"/>
    <xf numFmtId="0" fontId="25" fillId="0" borderId="8" xfId="0" applyFont="1" applyBorder="1"/>
    <xf numFmtId="0" fontId="26" fillId="0" borderId="8" xfId="0" applyFont="1" applyBorder="1"/>
    <xf numFmtId="0" fontId="26" fillId="0" borderId="9" xfId="0" applyFont="1" applyBorder="1"/>
    <xf numFmtId="0" fontId="15" fillId="0" borderId="10" xfId="0" applyFont="1" applyBorder="1"/>
    <xf numFmtId="0" fontId="21" fillId="0" borderId="9" xfId="1" applyFill="1" applyBorder="1" applyAlignment="1"/>
    <xf numFmtId="0" fontId="15" fillId="0" borderId="11" xfId="0" applyFont="1" applyBorder="1"/>
    <xf numFmtId="0" fontId="26" fillId="0" borderId="7" xfId="0" applyFont="1" applyBorder="1"/>
    <xf numFmtId="0" fontId="11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10" fillId="11" borderId="0" xfId="0" applyFont="1" applyFill="1"/>
    <xf numFmtId="0" fontId="0" fillId="11" borderId="0" xfId="0" applyFill="1"/>
    <xf numFmtId="0" fontId="20" fillId="11" borderId="0" xfId="0" applyFont="1" applyFill="1"/>
    <xf numFmtId="0" fontId="19" fillId="11" borderId="0" xfId="0" applyFont="1" applyFill="1"/>
    <xf numFmtId="0" fontId="0" fillId="11" borderId="0" xfId="0" quotePrefix="1" applyFill="1"/>
    <xf numFmtId="0" fontId="0" fillId="12" borderId="0" xfId="0" applyFill="1"/>
    <xf numFmtId="0" fontId="10" fillId="13" borderId="0" xfId="0" applyFont="1" applyFill="1"/>
    <xf numFmtId="49" fontId="25" fillId="0" borderId="7" xfId="0" applyNumberFormat="1" applyFont="1" applyBorder="1"/>
    <xf numFmtId="14" fontId="25" fillId="0" borderId="8" xfId="0" applyNumberFormat="1" applyFont="1" applyBorder="1"/>
    <xf numFmtId="0" fontId="28" fillId="7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16" fillId="7" borderId="0" xfId="0" applyFont="1" applyFill="1"/>
    <xf numFmtId="14" fontId="26" fillId="0" borderId="8" xfId="0" applyNumberFormat="1" applyFont="1" applyBorder="1"/>
    <xf numFmtId="49" fontId="26" fillId="0" borderId="4" xfId="0" applyNumberFormat="1" applyFont="1" applyBorder="1"/>
    <xf numFmtId="14" fontId="15" fillId="0" borderId="4" xfId="0" applyNumberFormat="1" applyFont="1" applyBorder="1"/>
    <xf numFmtId="0" fontId="15" fillId="0" borderId="4" xfId="0" applyFont="1" applyBorder="1"/>
    <xf numFmtId="0" fontId="26" fillId="0" borderId="12" xfId="0" applyFont="1" applyBorder="1"/>
    <xf numFmtId="14" fontId="26" fillId="0" borderId="6" xfId="0" applyNumberFormat="1" applyFont="1" applyBorder="1"/>
    <xf numFmtId="0" fontId="26" fillId="14" borderId="6" xfId="0" applyFont="1" applyFill="1" applyBorder="1" applyAlignment="1">
      <alignment wrapText="1"/>
    </xf>
    <xf numFmtId="0" fontId="21" fillId="0" borderId="0" xfId="1" applyBorder="1" applyAlignment="1">
      <alignment horizontal="left" vertical="top" wrapText="1"/>
    </xf>
    <xf numFmtId="0" fontId="15" fillId="0" borderId="13" xfId="0" applyFont="1" applyBorder="1"/>
    <xf numFmtId="0" fontId="32" fillId="0" borderId="0" xfId="0" applyFont="1"/>
    <xf numFmtId="0" fontId="14" fillId="7" borderId="0" xfId="0" applyFont="1" applyFill="1"/>
    <xf numFmtId="0" fontId="2" fillId="7" borderId="0" xfId="0" applyFont="1" applyFill="1"/>
    <xf numFmtId="0" fontId="33" fillId="5" borderId="0" xfId="0" applyFont="1" applyFill="1"/>
    <xf numFmtId="49" fontId="0" fillId="0" borderId="0" xfId="0" applyNumberFormat="1" applyAlignment="1">
      <alignment horizontal="left" vertical="center"/>
    </xf>
    <xf numFmtId="0" fontId="34" fillId="0" borderId="0" xfId="0" applyFont="1"/>
    <xf numFmtId="0" fontId="3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4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0" fontId="36" fillId="7" borderId="0" xfId="0" applyFont="1" applyFill="1" applyAlignment="1">
      <alignment horizontal="left" vertical="center"/>
    </xf>
    <xf numFmtId="49" fontId="14" fillId="0" borderId="0" xfId="0" applyNumberFormat="1" applyFont="1"/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16" fillId="0" borderId="0" xfId="0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49" fontId="10" fillId="0" borderId="0" xfId="0" applyNumberFormat="1" applyFont="1" applyAlignment="1">
      <alignment horizontal="left" wrapText="1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4" fillId="0" borderId="0" xfId="0" applyFont="1" applyAlignment="1">
      <alignment horizontal="left"/>
    </xf>
    <xf numFmtId="0" fontId="33" fillId="0" borderId="0" xfId="0" applyFont="1"/>
    <xf numFmtId="0" fontId="0" fillId="0" borderId="0" xfId="0" applyAlignment="1">
      <alignment vertical="top" wrapText="1"/>
    </xf>
    <xf numFmtId="0" fontId="21" fillId="0" borderId="0" xfId="1" applyFill="1" applyAlignment="1">
      <alignment horizontal="left" vertical="center"/>
    </xf>
    <xf numFmtId="0" fontId="21" fillId="0" borderId="0" xfId="1" applyFill="1" applyAlignment="1">
      <alignment horizontal="left" vertical="center" wrapText="1"/>
    </xf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0" fillId="15" borderId="0" xfId="0" applyFill="1"/>
    <xf numFmtId="0" fontId="21" fillId="15" borderId="0" xfId="1" applyFill="1" applyAlignment="1">
      <alignment horizontal="left" vertical="center"/>
    </xf>
    <xf numFmtId="49" fontId="0" fillId="15" borderId="0" xfId="0" applyNumberFormat="1" applyFill="1" applyAlignment="1">
      <alignment horizontal="left" vertical="center"/>
    </xf>
    <xf numFmtId="0" fontId="21" fillId="0" borderId="4" xfId="1" applyBorder="1"/>
    <xf numFmtId="0" fontId="27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3" fillId="9" borderId="0" xfId="0" applyFont="1" applyFill="1" applyAlignment="1"/>
    <xf numFmtId="0" fontId="1" fillId="0" borderId="0" xfId="0" applyFont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ira.apps.evn.at/browse/SFP-1719" TargetMode="External"/><Relationship Id="rId1" Type="http://schemas.openxmlformats.org/officeDocument/2006/relationships/hyperlink" Target="https://confluence.apps.evn.at/pages/viewpage.action?pageId=477200394&amp;spaceKey=PSK&amp;title=2025-03-24%2BAbstimmung%2BErweiterung%2BGP%2BUpdate%2BUpsert%2BBusiness%2BPartn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im-test.evn.at/crmesint/essapisu/v1/business-customers" TargetMode="External"/><Relationship Id="rId2" Type="http://schemas.openxmlformats.org/officeDocument/2006/relationships/hyperlink" Target="https://apim-dev.evn.at/crmesint/essapisu/v1/business-customers" TargetMode="External"/><Relationship Id="rId1" Type="http://schemas.openxmlformats.org/officeDocument/2006/relationships/hyperlink" Target="https://confluence.apps.evn.at/spaces/ARC/pages/453050780/06+HTTP+methods+for+REST+APIs" TargetMode="External"/><Relationship Id="rId4" Type="http://schemas.openxmlformats.org/officeDocument/2006/relationships/hyperlink" Target="https://apim-test.evn.at/crmesint/essapisu/v1/business-customer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x@mustermann.at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apps.evn.at/spaces/CRMV/pages/526254644/Subprocess+Deviating+PO+Box+Fields+Logic" TargetMode="External"/><Relationship Id="rId2" Type="http://schemas.openxmlformats.org/officeDocument/2006/relationships/hyperlink" Target="https://confluence.apps.evn.at/spaces/CRMV/pages/526254644/Subprocess+Deviating+PO+Box+Fields+Logic" TargetMode="External"/><Relationship Id="rId1" Type="http://schemas.openxmlformats.org/officeDocument/2006/relationships/hyperlink" Target="https://confluence.apps.evn.at/spaces/CRMV/pages/526254644/Subprocess+Deviating+PO+Box+Fields+Logic" TargetMode="External"/><Relationship Id="rId4" Type="http://schemas.openxmlformats.org/officeDocument/2006/relationships/hyperlink" Target="mailto:max@mustermann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8179-D676-4F0D-89F8-1A737A17214B}">
  <sheetPr>
    <tabColor rgb="FF0070C0"/>
  </sheetPr>
  <dimension ref="A1:I12"/>
  <sheetViews>
    <sheetView showGridLines="0" workbookViewId="0">
      <selection activeCell="D12" sqref="D12"/>
    </sheetView>
  </sheetViews>
  <sheetFormatPr defaultRowHeight="15"/>
  <cols>
    <col min="1" max="1" width="55.7109375" bestFit="1" customWidth="1"/>
    <col min="2" max="2" width="11.85546875" bestFit="1" customWidth="1"/>
    <col min="3" max="3" width="84.28515625" bestFit="1" customWidth="1"/>
    <col min="4" max="4" width="39.42578125" bestFit="1" customWidth="1"/>
    <col min="5" max="5" width="29.5703125" bestFit="1" customWidth="1"/>
  </cols>
  <sheetData>
    <row r="1" spans="1:9" ht="18.75">
      <c r="A1" s="42" t="s">
        <v>0</v>
      </c>
      <c r="B1" s="42"/>
      <c r="C1" s="42"/>
      <c r="D1" s="30"/>
      <c r="E1" s="30"/>
      <c r="F1" s="30"/>
      <c r="G1" s="30"/>
      <c r="H1" s="30"/>
      <c r="I1" s="30"/>
    </row>
    <row r="2" spans="1:9" ht="15.75">
      <c r="A2" s="118" t="s">
        <v>1</v>
      </c>
      <c r="B2" s="118"/>
      <c r="C2" s="118"/>
      <c r="D2" s="118"/>
      <c r="E2" s="118"/>
      <c r="F2" s="118"/>
      <c r="G2" s="118"/>
      <c r="H2" s="118"/>
      <c r="I2" s="118"/>
    </row>
    <row r="3" spans="1:9">
      <c r="A3" s="30"/>
      <c r="B3" s="30"/>
      <c r="C3" s="30"/>
      <c r="D3" s="30"/>
      <c r="E3" s="30"/>
      <c r="F3" s="30"/>
      <c r="G3" s="30"/>
      <c r="H3" s="30"/>
      <c r="I3" s="30"/>
    </row>
    <row r="4" spans="1:9">
      <c r="A4" s="43" t="s">
        <v>2</v>
      </c>
      <c r="B4" s="44" t="s">
        <v>3</v>
      </c>
      <c r="C4" s="44" t="s">
        <v>4</v>
      </c>
      <c r="D4" s="44" t="s">
        <v>5</v>
      </c>
      <c r="E4" s="45" t="s">
        <v>6</v>
      </c>
      <c r="F4" s="30"/>
      <c r="G4" s="30"/>
      <c r="H4" s="30"/>
      <c r="I4" s="30"/>
    </row>
    <row r="5" spans="1:9">
      <c r="A5" s="46" t="s">
        <v>7</v>
      </c>
      <c r="B5" s="47" t="s">
        <v>8</v>
      </c>
      <c r="C5" s="48" t="s">
        <v>9</v>
      </c>
      <c r="D5" s="49" t="s">
        <v>10</v>
      </c>
      <c r="E5" s="50"/>
      <c r="F5" s="30"/>
      <c r="G5" s="30"/>
      <c r="H5" s="30"/>
      <c r="I5" s="30"/>
    </row>
    <row r="6" spans="1:9">
      <c r="A6" s="64" t="s">
        <v>11</v>
      </c>
      <c r="B6" s="65">
        <v>45707</v>
      </c>
      <c r="C6" s="48" t="s">
        <v>12</v>
      </c>
      <c r="D6" s="51"/>
      <c r="E6" s="52" t="s">
        <v>13</v>
      </c>
      <c r="F6" s="30"/>
      <c r="G6" s="30"/>
      <c r="H6" s="30"/>
      <c r="I6" s="30"/>
    </row>
    <row r="7" spans="1:9">
      <c r="A7" s="64" t="s">
        <v>14</v>
      </c>
      <c r="B7" s="65">
        <v>45713</v>
      </c>
      <c r="C7" s="48" t="s">
        <v>15</v>
      </c>
      <c r="D7" s="51"/>
      <c r="E7" s="52" t="s">
        <v>13</v>
      </c>
      <c r="F7" s="30"/>
      <c r="G7" s="30"/>
      <c r="H7" s="30"/>
      <c r="I7" s="30"/>
    </row>
    <row r="8" spans="1:9">
      <c r="A8" s="53" t="s">
        <v>14</v>
      </c>
      <c r="B8" s="73">
        <v>45723</v>
      </c>
      <c r="C8" s="48" t="s">
        <v>16</v>
      </c>
      <c r="D8" s="49" t="s">
        <v>10</v>
      </c>
      <c r="E8" s="52" t="s">
        <v>17</v>
      </c>
      <c r="F8" s="30"/>
      <c r="G8" s="30"/>
      <c r="H8" s="30"/>
      <c r="I8" s="30"/>
    </row>
    <row r="9" spans="1:9" ht="33.75" customHeight="1">
      <c r="A9" s="77" t="s">
        <v>18</v>
      </c>
      <c r="B9" s="78">
        <v>45747</v>
      </c>
      <c r="C9" s="79" t="s">
        <v>19</v>
      </c>
      <c r="D9" s="80" t="s">
        <v>20</v>
      </c>
      <c r="E9" s="81" t="s">
        <v>17</v>
      </c>
      <c r="F9" s="30"/>
      <c r="G9" s="30"/>
      <c r="H9" s="30"/>
      <c r="I9" s="30"/>
    </row>
    <row r="10" spans="1:9">
      <c r="A10" s="74" t="s">
        <v>21</v>
      </c>
      <c r="B10" s="75">
        <v>45804</v>
      </c>
      <c r="C10" s="76" t="s">
        <v>22</v>
      </c>
      <c r="D10" s="76"/>
      <c r="E10" s="76" t="s">
        <v>23</v>
      </c>
      <c r="F10" s="30"/>
      <c r="G10" s="30"/>
      <c r="H10" s="30"/>
      <c r="I10" s="30"/>
    </row>
    <row r="11" spans="1:9">
      <c r="A11" s="74" t="s">
        <v>24</v>
      </c>
      <c r="B11" s="75">
        <v>45811</v>
      </c>
      <c r="C11" s="76" t="s">
        <v>25</v>
      </c>
      <c r="D11" s="76"/>
      <c r="E11" s="76" t="s">
        <v>26</v>
      </c>
      <c r="F11" s="30"/>
      <c r="G11" s="30"/>
      <c r="H11" s="30"/>
      <c r="I11" s="30"/>
    </row>
    <row r="12" spans="1:9">
      <c r="A12" s="74" t="s">
        <v>27</v>
      </c>
      <c r="B12" s="75">
        <v>46043</v>
      </c>
      <c r="C12" s="76" t="s">
        <v>28</v>
      </c>
      <c r="D12" s="114" t="s">
        <v>29</v>
      </c>
      <c r="E12" s="76" t="s">
        <v>13</v>
      </c>
      <c r="F12" s="30"/>
      <c r="G12" s="30"/>
      <c r="H12" s="30"/>
      <c r="I12" s="30"/>
    </row>
  </sheetData>
  <mergeCells count="1">
    <mergeCell ref="A2:I2"/>
  </mergeCells>
  <hyperlinks>
    <hyperlink ref="D9" r:id="rId1" xr:uid="{3BB9F829-B439-46C0-B8F9-5DC4E7AE870C}"/>
    <hyperlink ref="D12" r:id="rId2" xr:uid="{5980BB36-2D84-4F0E-B9AB-2396827601A0}"/>
  </hyperlinks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AC18-34CA-40BA-8E44-D5841CE903F5}">
  <dimension ref="A1:B21"/>
  <sheetViews>
    <sheetView topLeftCell="A4" workbookViewId="0">
      <selection activeCell="B1" sqref="B1"/>
    </sheetView>
  </sheetViews>
  <sheetFormatPr defaultColWidth="8.85546875" defaultRowHeight="15"/>
  <cols>
    <col min="2" max="2" width="127" customWidth="1"/>
  </cols>
  <sheetData>
    <row r="1" spans="2:2">
      <c r="B1" s="40" t="s">
        <v>30</v>
      </c>
    </row>
    <row r="3" spans="2:2">
      <c r="B3" t="s">
        <v>31</v>
      </c>
    </row>
    <row r="4" spans="2:2">
      <c r="B4" t="s">
        <v>32</v>
      </c>
    </row>
    <row r="5" spans="2:2">
      <c r="B5" t="s">
        <v>33</v>
      </c>
    </row>
    <row r="6" spans="2:2">
      <c r="B6" t="s">
        <v>34</v>
      </c>
    </row>
    <row r="8" spans="2:2" ht="15.75" thickBot="1"/>
    <row r="9" spans="2:2">
      <c r="B9" s="12" t="s">
        <v>35</v>
      </c>
    </row>
    <row r="10" spans="2:2">
      <c r="B10" s="41" t="s">
        <v>36</v>
      </c>
    </row>
    <row r="11" spans="2:2">
      <c r="B11" s="10"/>
    </row>
    <row r="12" spans="2:2">
      <c r="B12" s="10" t="s">
        <v>37</v>
      </c>
    </row>
    <row r="13" spans="2:2">
      <c r="B13" s="10" t="s">
        <v>38</v>
      </c>
    </row>
    <row r="14" spans="2:2">
      <c r="B14" s="10"/>
    </row>
    <row r="15" spans="2:2" ht="69" thickBot="1">
      <c r="B15" s="11" t="s">
        <v>39</v>
      </c>
    </row>
    <row r="17" spans="1:2">
      <c r="B17" t="s">
        <v>40</v>
      </c>
    </row>
    <row r="18" spans="1:2">
      <c r="A18" t="s">
        <v>41</v>
      </c>
    </row>
    <row r="19" spans="1:2">
      <c r="A19" t="s">
        <v>42</v>
      </c>
      <c r="B19" s="40" t="s">
        <v>43</v>
      </c>
    </row>
    <row r="20" spans="1:2">
      <c r="A20" t="s">
        <v>44</v>
      </c>
      <c r="B20" s="40" t="s">
        <v>45</v>
      </c>
    </row>
    <row r="21" spans="1:2">
      <c r="A21" t="s">
        <v>46</v>
      </c>
      <c r="B21" s="40" t="s">
        <v>43</v>
      </c>
    </row>
  </sheetData>
  <hyperlinks>
    <hyperlink ref="B1" r:id="rId1" xr:uid="{67C38F4C-1D6E-4767-8B73-6654603ACDB7}"/>
    <hyperlink ref="B20" r:id="rId2" xr:uid="{11BC4A31-FAB5-44BB-8AA1-A5479036E966}"/>
    <hyperlink ref="B21" r:id="rId3" xr:uid="{184079C9-8814-48A8-A1B0-E2BB7AC3322D}"/>
    <hyperlink ref="B19" r:id="rId4" xr:uid="{F685875D-264D-4251-8213-3D7FB15BC25C}"/>
  </hyperlinks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B4B0-B96F-4959-BB3A-E8CF1A03A647}">
  <dimension ref="B1:C10"/>
  <sheetViews>
    <sheetView showGridLines="0" zoomScale="85" zoomScaleNormal="85" workbookViewId="0">
      <selection activeCell="C12" sqref="C12"/>
    </sheetView>
  </sheetViews>
  <sheetFormatPr defaultColWidth="8.85546875" defaultRowHeight="15"/>
  <cols>
    <col min="1" max="1" width="6.5703125" customWidth="1"/>
    <col min="2" max="2" width="4.85546875" customWidth="1"/>
    <col min="3" max="3" width="151.42578125" customWidth="1"/>
  </cols>
  <sheetData>
    <row r="1" spans="2:3" ht="21">
      <c r="C1" s="8" t="s">
        <v>47</v>
      </c>
    </row>
    <row r="3" spans="2:3" ht="18.75">
      <c r="B3" s="7" t="s">
        <v>48</v>
      </c>
      <c r="C3" t="s">
        <v>49</v>
      </c>
    </row>
    <row r="4" spans="2:3" ht="18.75">
      <c r="B4" s="7" t="s">
        <v>48</v>
      </c>
      <c r="C4" s="36" t="s">
        <v>50</v>
      </c>
    </row>
    <row r="5" spans="2:3" ht="18.75">
      <c r="B5" s="7" t="s">
        <v>48</v>
      </c>
      <c r="C5" s="82" t="s">
        <v>51</v>
      </c>
    </row>
    <row r="6" spans="2:3" ht="18.75">
      <c r="B6" s="7" t="s">
        <v>48</v>
      </c>
      <c r="C6" s="29" t="s">
        <v>52</v>
      </c>
    </row>
    <row r="7" spans="2:3" ht="18.75">
      <c r="B7" s="7" t="s">
        <v>48</v>
      </c>
      <c r="C7" s="36" t="s">
        <v>53</v>
      </c>
    </row>
    <row r="8" spans="2:3" ht="18.75">
      <c r="B8" s="7" t="s">
        <v>48</v>
      </c>
      <c r="C8" t="s">
        <v>54</v>
      </c>
    </row>
    <row r="9" spans="2:3" ht="18.75">
      <c r="B9" s="7" t="s">
        <v>48</v>
      </c>
      <c r="C9" t="s">
        <v>55</v>
      </c>
    </row>
    <row r="10" spans="2:3" ht="18.75">
      <c r="B10" s="7"/>
      <c r="C10" s="5"/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0506-52A2-4B73-BFD6-06CFDA61690E}">
  <dimension ref="A1:P57"/>
  <sheetViews>
    <sheetView zoomScale="85" zoomScaleNormal="85" workbookViewId="0">
      <pane xSplit="7" ySplit="2" topLeftCell="H3" activePane="bottomRight" state="frozen"/>
      <selection pane="bottomRight" activeCell="H41" sqref="H41"/>
      <selection pane="bottomLeft" activeCell="C1" sqref="C1"/>
      <selection pane="topRight"/>
    </sheetView>
  </sheetViews>
  <sheetFormatPr defaultColWidth="8.85546875" defaultRowHeight="15"/>
  <cols>
    <col min="1" max="1" width="5" style="1" customWidth="1"/>
    <col min="2" max="2" width="22.7109375" style="4" customWidth="1"/>
    <col min="3" max="3" width="11" style="4" customWidth="1"/>
    <col min="4" max="4" width="35.140625" style="4" bestFit="1" customWidth="1"/>
    <col min="5" max="5" width="55.28515625" style="4" customWidth="1"/>
    <col min="6" max="6" width="6.28515625" style="4" customWidth="1"/>
    <col min="7" max="7" width="23.5703125" style="4" customWidth="1"/>
    <col min="8" max="8" width="56.85546875" style="4" customWidth="1"/>
    <col min="9" max="9" width="26.5703125" style="4" customWidth="1"/>
    <col min="10" max="10" width="13.42578125" style="4" customWidth="1"/>
    <col min="11" max="11" width="3.28515625" style="4" bestFit="1" customWidth="1"/>
    <col min="12" max="12" width="18.85546875" style="4" bestFit="1" customWidth="1"/>
    <col min="13" max="13" width="17.5703125" customWidth="1"/>
    <col min="14" max="14" width="41.140625" customWidth="1"/>
    <col min="15" max="15" width="83.5703125" customWidth="1"/>
    <col min="16" max="16" width="86.42578125" customWidth="1"/>
  </cols>
  <sheetData>
    <row r="1" spans="1:16" ht="34.35" customHeight="1">
      <c r="A1" s="115" t="s">
        <v>56</v>
      </c>
      <c r="B1" s="116"/>
      <c r="C1" s="116"/>
      <c r="D1" s="116"/>
      <c r="E1" s="116"/>
      <c r="F1" s="116"/>
      <c r="G1" s="116"/>
      <c r="H1" s="17"/>
      <c r="I1" s="17"/>
      <c r="J1" s="17" t="s">
        <v>57</v>
      </c>
      <c r="K1" s="17"/>
      <c r="L1" s="17"/>
      <c r="M1" s="9"/>
      <c r="N1" s="2"/>
      <c r="O1" s="2"/>
      <c r="P1" s="2"/>
    </row>
    <row r="2" spans="1:16" s="4" customFormat="1" ht="30.75" customHeight="1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4</v>
      </c>
      <c r="H2" s="3" t="s">
        <v>64</v>
      </c>
      <c r="I2" s="13" t="s">
        <v>65</v>
      </c>
      <c r="J2" s="1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</row>
    <row r="3" spans="1:16" s="22" customFormat="1">
      <c r="A3" s="35">
        <v>1</v>
      </c>
      <c r="B3" s="18"/>
      <c r="C3" s="19" t="str">
        <f t="shared" ref="C3:C4" si="0">IF(B3="person","p_",(IF(B3="organisation","o_",(IF(B3="person/organisation","po_","")))))</f>
        <v/>
      </c>
      <c r="D3" s="19"/>
      <c r="E3" s="19" t="str">
        <f>IF(ISBLANK(F3),G3,IF(ISBLANK(M3),_xlfn.CONCAT($J$1,C3,G3,$J$1,": ",,$J$1,D3,$J$1,IF(LEFT(E4,1)="}","",",")),_xlfn.CONCAT($J$1,C3,G3,$J$1,": ",,,D3,,IF(LEFT(E4,1)="}","",","))))</f>
        <v>{</v>
      </c>
      <c r="F3" s="18"/>
      <c r="G3" s="20" t="s">
        <v>73</v>
      </c>
      <c r="H3" s="18"/>
      <c r="I3" s="21"/>
      <c r="J3" s="21"/>
      <c r="K3" s="18"/>
      <c r="L3" s="18"/>
      <c r="M3" s="18"/>
      <c r="N3" s="18"/>
      <c r="O3" s="18"/>
      <c r="P3" s="18"/>
    </row>
    <row r="4" spans="1:16" s="22" customFormat="1">
      <c r="A4" s="35">
        <v>2</v>
      </c>
      <c r="B4" s="23"/>
      <c r="C4" s="19" t="str">
        <f t="shared" si="0"/>
        <v/>
      </c>
      <c r="D4" s="19"/>
      <c r="E4" s="19" t="str">
        <f>IF(ISBLANK(F4),G4,IF(ISBLANK(M4),_xlfn.CONCAT($J$1,C4,G4,$J$1,": ",,$J$1,D4,$J$1,IF(LEFT(E5,1)="}","",",")),_xlfn.CONCAT($J$1,C4,G4,$J$1,": ",,,D4,,IF(LEFT(E5,1)="}","",","))))</f>
        <v>"Meta": {</v>
      </c>
      <c r="F4" s="18"/>
      <c r="G4" s="23" t="s">
        <v>74</v>
      </c>
      <c r="H4" s="18"/>
      <c r="I4" s="21"/>
      <c r="J4" s="21"/>
      <c r="K4" s="18"/>
      <c r="L4" s="18"/>
      <c r="M4" s="18"/>
      <c r="N4" s="18"/>
      <c r="O4" s="18"/>
      <c r="P4" s="18"/>
    </row>
    <row r="5" spans="1:16">
      <c r="A5" s="35">
        <v>3</v>
      </c>
      <c r="B5" s="16" t="s">
        <v>75</v>
      </c>
      <c r="C5" s="16"/>
      <c r="D5" s="16" t="s">
        <v>76</v>
      </c>
      <c r="E5" s="16" t="str">
        <f>IF(ISBLANK(F5),G5,IF(ISBLANK(M5),_xlfn.CONCAT($J$1,C5,G5,$J$1,": ",,$J$1,D5,$J$1,IF(LEFT(E6,1)="}","",",")),_xlfn.CONCAT($J$1,C5,G5,$J$1,": ",,,D5,,IF(LEFT(E6,1)="}","",","))))</f>
        <v>"CRM_GUID": "1d471f69-969d-ee11-be37-6045bda1c84f",</v>
      </c>
      <c r="F5" s="4" t="s">
        <v>77</v>
      </c>
      <c r="G5" s="15" t="s">
        <v>78</v>
      </c>
      <c r="H5" s="14" t="s">
        <v>79</v>
      </c>
      <c r="I5" s="14"/>
      <c r="J5" s="14" t="s">
        <v>80</v>
      </c>
      <c r="K5" s="14">
        <v>36</v>
      </c>
      <c r="N5" t="s">
        <v>81</v>
      </c>
      <c r="O5" t="s">
        <v>82</v>
      </c>
    </row>
    <row r="6" spans="1:16">
      <c r="A6" s="35"/>
      <c r="B6" s="16" t="s">
        <v>75</v>
      </c>
      <c r="C6" s="16"/>
      <c r="D6" s="16">
        <v>1015234841</v>
      </c>
      <c r="E6" s="16" t="str">
        <f>IF(ISBLANK(F6),G6,IF(ISBLANK(M6),_xlfn.CONCAT($J$1,C6,G6,$J$1,": ",,$J$1,D6,$J$1,IF(LEFT(E7,1)="}","",",")),_xlfn.CONCAT($J$1,C6,G6,$J$1,": ",,,D6,,IF(LEFT(E7,1)="}","",","))))</f>
        <v>"businessCustomerId": "1015234841",</v>
      </c>
      <c r="F6" s="4" t="s">
        <v>77</v>
      </c>
      <c r="G6" s="15" t="s">
        <v>83</v>
      </c>
      <c r="H6" s="14" t="s">
        <v>84</v>
      </c>
      <c r="I6" s="14"/>
      <c r="J6" s="14" t="s">
        <v>80</v>
      </c>
      <c r="K6" s="14">
        <v>10</v>
      </c>
      <c r="O6" t="s">
        <v>85</v>
      </c>
    </row>
    <row r="7" spans="1:16">
      <c r="A7" s="35">
        <v>9</v>
      </c>
      <c r="B7" s="16" t="s">
        <v>75</v>
      </c>
      <c r="C7" s="16"/>
      <c r="D7" s="16" t="s">
        <v>86</v>
      </c>
      <c r="E7" s="16" t="str">
        <f>IF(ISBLANK(F7),G7,IF(ISBLANK(M7),_xlfn.CONCAT($J$1,C7,G7,$J$1,": ",,$J$1,D7,$J$1,IF(LEFT(E8,1)="}","",",")),_xlfn.CONCAT($J$1,C7,G7,$J$1,": ",,,D7,,IF(LEFT(E8,1)="}","",","))))</f>
        <v>"classification": "IN"</v>
      </c>
      <c r="F7" s="4" t="s">
        <v>87</v>
      </c>
      <c r="G7" s="15" t="s">
        <v>88</v>
      </c>
      <c r="H7" s="38" t="s">
        <v>89</v>
      </c>
      <c r="I7" s="14"/>
      <c r="J7" s="14" t="s">
        <v>80</v>
      </c>
      <c r="K7" s="14">
        <v>4</v>
      </c>
      <c r="L7" s="4" t="s">
        <v>90</v>
      </c>
      <c r="N7" s="14" t="s">
        <v>91</v>
      </c>
      <c r="O7" t="s">
        <v>92</v>
      </c>
      <c r="P7" s="39"/>
    </row>
    <row r="8" spans="1:16" s="25" customFormat="1">
      <c r="A8" s="35">
        <v>10</v>
      </c>
      <c r="B8" s="19"/>
      <c r="C8" s="19"/>
      <c r="D8" s="19"/>
      <c r="E8" s="19" t="str">
        <f>IF(ISBLANK(F8),G8,IF(ISBLANK(M8),_xlfn.CONCAT($J$1,C8,G8,$J$1,": ",,$J$1,D8,$J$1,IF(LEFT(E9,1)="}","",",")),_xlfn.CONCAT($J$1,C8,G8,$J$1,": ",,,D8,,IF(LEFT(E9,1)="}","",","))))</f>
        <v>},</v>
      </c>
      <c r="F8" s="22"/>
      <c r="G8" s="19" t="s">
        <v>93</v>
      </c>
      <c r="H8" s="24"/>
      <c r="I8" s="24"/>
      <c r="J8" s="24"/>
      <c r="K8" s="24"/>
      <c r="L8" s="22"/>
    </row>
    <row r="9" spans="1:16" s="25" customFormat="1">
      <c r="A9" s="35">
        <v>11</v>
      </c>
      <c r="B9" s="26"/>
      <c r="C9" s="19"/>
      <c r="D9" s="19"/>
      <c r="E9" s="19" t="str">
        <f>IF(ISBLANK(F9),G9,IF(ISBLANK(M9),_xlfn.CONCAT($J$1,C9,G9,$J$1,": ",,$J$1,D9,$J$1,IF(LEFT(E10,1)="}","",",")),_xlfn.CONCAT($J$1,C9,G9,$J$1,": ",,,D9,,IF(LEFT(E10,1)="}","",","))))</f>
        <v>"Name": {</v>
      </c>
      <c r="F9" s="22"/>
      <c r="G9" s="26" t="s">
        <v>94</v>
      </c>
      <c r="H9" s="24"/>
      <c r="I9" s="24"/>
      <c r="J9" s="24"/>
      <c r="K9" s="24"/>
      <c r="L9" s="22"/>
    </row>
    <row r="10" spans="1:16">
      <c r="A10" s="35">
        <v>12</v>
      </c>
      <c r="B10" s="16" t="s">
        <v>75</v>
      </c>
      <c r="C10" s="16"/>
      <c r="D10" s="16" t="s">
        <v>95</v>
      </c>
      <c r="E10" s="16" t="str">
        <f>IF(ISBLANK(F10),G10,IF(ISBLANK(M10),_xlfn.CONCAT($J$1,C10,G10,$J$1,": ",,$J$1,D10,$J$1,IF(LEFT(E11,1)="}","",",")),_xlfn.CONCAT($J$1,C10,G10,$J$1,": ",,,D10,,IF(LEFT(E11,1)="}","",","))))</f>
        <v>"salutation": "Herr",</v>
      </c>
      <c r="F10" s="4" t="s">
        <v>87</v>
      </c>
      <c r="G10" s="15" t="s">
        <v>96</v>
      </c>
      <c r="H10" s="14" t="s">
        <v>97</v>
      </c>
      <c r="I10" s="14"/>
      <c r="J10" s="14" t="s">
        <v>80</v>
      </c>
      <c r="K10" s="14">
        <v>4</v>
      </c>
      <c r="L10" s="4" t="s">
        <v>90</v>
      </c>
      <c r="N10" s="14" t="s">
        <v>91</v>
      </c>
      <c r="O10" s="37" t="s">
        <v>98</v>
      </c>
      <c r="P10" s="39"/>
    </row>
    <row r="11" spans="1:16">
      <c r="A11" s="35">
        <v>13</v>
      </c>
      <c r="B11" s="16" t="s">
        <v>99</v>
      </c>
      <c r="C11" s="16"/>
      <c r="D11" s="16" t="s">
        <v>100</v>
      </c>
      <c r="E11" s="16" t="str">
        <f>IF(ISBLANK(F11),G11,IF(ISBLANK(M11),_xlfn.CONCAT($J$1,C11,G11,$J$1,": ",,$J$1,D11,$J$1,IF(LEFT(E13,1)="}","",",")),_xlfn.CONCAT($J$1,C11,G11,$J$1,": ",,,D11,,IF(LEFT(E13,1)="}","",","))))</f>
        <v>"titlePre": "Dr.",</v>
      </c>
      <c r="F11" s="4" t="s">
        <v>87</v>
      </c>
      <c r="G11" s="14" t="s">
        <v>101</v>
      </c>
      <c r="H11" s="14" t="s">
        <v>102</v>
      </c>
      <c r="I11" s="14"/>
      <c r="J11" s="14" t="s">
        <v>80</v>
      </c>
      <c r="K11" s="57">
        <v>40</v>
      </c>
      <c r="L11" s="56" t="s">
        <v>90</v>
      </c>
      <c r="N11" s="61" t="s">
        <v>91</v>
      </c>
      <c r="O11" s="37" t="s">
        <v>103</v>
      </c>
      <c r="P11" s="62"/>
    </row>
    <row r="12" spans="1:16">
      <c r="A12" s="35">
        <v>14</v>
      </c>
      <c r="B12" s="16" t="s">
        <v>99</v>
      </c>
      <c r="C12" s="16"/>
      <c r="D12" s="16" t="s">
        <v>104</v>
      </c>
      <c r="E12" s="16" t="str">
        <f>IF(ISBLANK(F12),G12,IF(ISBLANK(M12),_xlfn.CONCAT($J$1,C12,G12,$J$1,": ",,$J$1,D12,$J$1,IF(LEFT(E14,1)="}","",",")),_xlfn.CONCAT($J$1,C12,G12,$J$1,": ",,,D12,,IF(LEFT(E14,1)="}","",","))))</f>
        <v>"titlePost": "BA",</v>
      </c>
      <c r="F12" s="4" t="s">
        <v>87</v>
      </c>
      <c r="G12" s="14" t="s">
        <v>105</v>
      </c>
      <c r="H12" s="14" t="s">
        <v>106</v>
      </c>
      <c r="I12" s="14"/>
      <c r="J12" s="14" t="s">
        <v>80</v>
      </c>
      <c r="K12" s="57">
        <v>40</v>
      </c>
      <c r="L12" s="56" t="s">
        <v>107</v>
      </c>
      <c r="N12" s="61" t="s">
        <v>91</v>
      </c>
      <c r="O12" s="37" t="s">
        <v>108</v>
      </c>
      <c r="P12" s="62"/>
    </row>
    <row r="13" spans="1:16">
      <c r="A13" s="35">
        <v>15</v>
      </c>
      <c r="B13" s="16" t="s">
        <v>99</v>
      </c>
      <c r="C13" s="16"/>
      <c r="D13" s="16" t="s">
        <v>109</v>
      </c>
      <c r="E13" s="16" t="str">
        <f>IF(ISBLANK(F13),G13,IF(ISBLANK(M13),_xlfn.CONCAT($J$1,C13,G13,$J$1,": ",,$J$1,D13,$J$1,IF(LEFT(E14,1)="}","",",")),_xlfn.CONCAT($J$1,C13,G13,$J$1,": ",,,D13,,IF(LEFT(E14,1)="}","",","))))</f>
        <v>"firstName": "Peter",</v>
      </c>
      <c r="F13" s="4" t="s">
        <v>87</v>
      </c>
      <c r="G13" s="14" t="s">
        <v>110</v>
      </c>
      <c r="H13" s="14"/>
      <c r="I13" s="14" t="s">
        <v>111</v>
      </c>
      <c r="J13" s="14" t="s">
        <v>80</v>
      </c>
      <c r="K13" s="14">
        <v>40</v>
      </c>
      <c r="N13" t="s">
        <v>112</v>
      </c>
      <c r="O13" t="s">
        <v>113</v>
      </c>
    </row>
    <row r="14" spans="1:16">
      <c r="A14" s="35">
        <v>16</v>
      </c>
      <c r="B14" s="16" t="s">
        <v>99</v>
      </c>
      <c r="C14" s="16"/>
      <c r="D14" s="16" t="s">
        <v>114</v>
      </c>
      <c r="E14" s="16" t="str">
        <f>IF(ISBLANK(F14),G14,IF(ISBLANK(M14),_xlfn.CONCAT($J$1,C14,G14,$J$1,": ",,$J$1,D14,$J$1,IF(LEFT(E15,1)="}","",",")),_xlfn.CONCAT($J$1,C14,G14,$J$1,": ",,,D14,,IF(LEFT(E15,1)="}","",","))))</f>
        <v>"lastName": "Tosh",</v>
      </c>
      <c r="F14" s="4" t="s">
        <v>87</v>
      </c>
      <c r="G14" s="14" t="s">
        <v>115</v>
      </c>
      <c r="H14" s="14" t="s">
        <v>116</v>
      </c>
      <c r="I14" s="14" t="s">
        <v>117</v>
      </c>
      <c r="J14" s="14" t="s">
        <v>80</v>
      </c>
      <c r="K14" s="14">
        <v>40</v>
      </c>
      <c r="N14" t="s">
        <v>112</v>
      </c>
      <c r="O14" t="s">
        <v>118</v>
      </c>
    </row>
    <row r="15" spans="1:16">
      <c r="A15" s="35">
        <v>17</v>
      </c>
      <c r="B15" s="16" t="s">
        <v>119</v>
      </c>
      <c r="C15" s="16"/>
      <c r="D15" s="16" t="s">
        <v>120</v>
      </c>
      <c r="E15" s="16" t="str">
        <f>IF(ISBLANK(F15),G15,IF(ISBLANK(M15),_xlfn.CONCAT($J$1,C15,G15,$J$1,": ",,$J$1,D15,$J$1,IF(LEFT(E16,1)="}","",",")),_xlfn.CONCAT($J$1,C15,G15,$J$1,": ",,,D15,,IF(LEFT(E16,1)="}","",","))))</f>
        <v>"organisationName1": "Peters",</v>
      </c>
      <c r="F15" s="4" t="s">
        <v>87</v>
      </c>
      <c r="G15" s="15" t="s">
        <v>121</v>
      </c>
      <c r="H15" s="14" t="s">
        <v>122</v>
      </c>
      <c r="I15" s="14" t="s">
        <v>123</v>
      </c>
      <c r="J15" s="14" t="s">
        <v>80</v>
      </c>
      <c r="K15" s="14">
        <v>40</v>
      </c>
      <c r="N15" t="s">
        <v>112</v>
      </c>
      <c r="O15" t="s">
        <v>124</v>
      </c>
    </row>
    <row r="16" spans="1:16">
      <c r="A16" s="35">
        <v>18</v>
      </c>
      <c r="B16" s="16" t="s">
        <v>119</v>
      </c>
      <c r="C16" s="16"/>
      <c r="D16" s="16" t="s">
        <v>125</v>
      </c>
      <c r="E16" s="16" t="str">
        <f>IF(ISBLANK(F16),G16,IF(ISBLANK(M16),_xlfn.CONCAT($J$1,C16,G16,$J$1,": ",,$J$1,D16,$J$1,IF(LEFT(E17,1)="}","",",")),_xlfn.CONCAT($J$1,C16,G16,$J$1,": ",,,D16,,IF(LEFT(E17,1)="}","",","))))</f>
        <v>"organisationName2": "Brunnenbau",</v>
      </c>
      <c r="F16" s="4" t="s">
        <v>87</v>
      </c>
      <c r="G16" s="14" t="s">
        <v>126</v>
      </c>
      <c r="H16" s="14" t="s">
        <v>127</v>
      </c>
      <c r="I16" s="14"/>
      <c r="J16" s="14" t="s">
        <v>80</v>
      </c>
      <c r="K16" s="14">
        <v>40</v>
      </c>
      <c r="N16" t="s">
        <v>112</v>
      </c>
      <c r="O16" s="37" t="s">
        <v>128</v>
      </c>
    </row>
    <row r="17" spans="1:16">
      <c r="A17" s="35">
        <v>19</v>
      </c>
      <c r="B17" s="16" t="s">
        <v>119</v>
      </c>
      <c r="C17" s="16"/>
      <c r="D17" s="16" t="s">
        <v>129</v>
      </c>
      <c r="E17" s="16" t="str">
        <f>IF(ISBLANK(F17),G17,IF(ISBLANK(M17),_xlfn.CONCAT($J$1,C17,G17,$J$1,": ",,$J$1,D17,$J$1,IF(LEFT(E18,1)="}","",",")),_xlfn.CONCAT($J$1,C17,G17,$J$1,": ",,,D17,,IF(LEFT(E18,1)="}","",","))))</f>
        <v>"organisationName3": "Gesellschaft ohne",</v>
      </c>
      <c r="F17" s="4" t="s">
        <v>87</v>
      </c>
      <c r="G17" s="14" t="s">
        <v>130</v>
      </c>
      <c r="H17" s="14" t="s">
        <v>131</v>
      </c>
      <c r="I17" s="14"/>
      <c r="J17" s="14" t="s">
        <v>80</v>
      </c>
      <c r="K17" s="14">
        <v>40</v>
      </c>
      <c r="N17" t="s">
        <v>112</v>
      </c>
      <c r="O17" s="37" t="s">
        <v>132</v>
      </c>
    </row>
    <row r="18" spans="1:16">
      <c r="A18" s="35">
        <v>20</v>
      </c>
      <c r="B18" s="16" t="s">
        <v>119</v>
      </c>
      <c r="C18" s="16"/>
      <c r="D18" s="16" t="s">
        <v>133</v>
      </c>
      <c r="E18" s="16" t="str">
        <f>IF(ISBLANK(F18),G18,IF(ISBLANK(M18),_xlfn.CONCAT($J$1,C18,G18,$J$1,": ",,$J$1,D18,$J$1,IF(LEFT(E19,1)="}","",",")),_xlfn.CONCAT($J$1,C18,G18,$J$1,": ",,,D18,,IF(LEFT(E19,1)="}","",","))))</f>
        <v>"organisationName4": "Schaufel"</v>
      </c>
      <c r="F18" s="4" t="s">
        <v>87</v>
      </c>
      <c r="G18" s="14" t="s">
        <v>134</v>
      </c>
      <c r="H18" s="14" t="s">
        <v>135</v>
      </c>
      <c r="I18" s="14"/>
      <c r="J18" s="14" t="s">
        <v>80</v>
      </c>
      <c r="K18" s="14">
        <v>40</v>
      </c>
      <c r="N18" t="s">
        <v>112</v>
      </c>
      <c r="O18" s="37" t="s">
        <v>136</v>
      </c>
    </row>
    <row r="19" spans="1:16" s="25" customFormat="1">
      <c r="A19" s="35">
        <v>21</v>
      </c>
      <c r="B19" s="19"/>
      <c r="C19" s="19" t="str">
        <f t="shared" ref="C19:C38" si="1">IF(B19="person","p_",(IF(B19="organisation","o_",(IF(B19="person/organisation","po_","")))))</f>
        <v/>
      </c>
      <c r="D19" s="19"/>
      <c r="E19" s="19" t="str">
        <f>IF(ISBLANK(F19),G19,IF(ISBLANK(M19),_xlfn.CONCAT($J$1,C19,G19,$J$1,": ",,$J$1,D19,$J$1,IF(LEFT(E20,1)="}","",",")),_xlfn.CONCAT($J$1,C19,G19,$J$1,": ",,,D19,,IF(LEFT(E20,1)="}","",","))))</f>
        <v>},</v>
      </c>
      <c r="F19" s="22"/>
      <c r="G19" s="19" t="s">
        <v>93</v>
      </c>
      <c r="H19" s="24"/>
      <c r="I19" s="24"/>
      <c r="J19" s="24"/>
      <c r="K19" s="24"/>
      <c r="L19" s="22"/>
    </row>
    <row r="20" spans="1:16" s="25" customFormat="1">
      <c r="A20" s="35">
        <v>22</v>
      </c>
      <c r="B20" s="26"/>
      <c r="C20" s="19" t="str">
        <f t="shared" si="1"/>
        <v/>
      </c>
      <c r="D20" s="19"/>
      <c r="E20" s="19" t="str">
        <f>IF(ISBLANK(F20),G20,IF(ISBLANK(M20),_xlfn.CONCAT($J$1,C20,G20,$J$1,": ",,$J$1,D20,$J$1,IF(LEFT(E21,1)="}","",",")),_xlfn.CONCAT($J$1,C20,G20,$J$1,": ",,,D20,,IF(LEFT(E21,1)="}","",","))))</f>
        <v>"Address": {</v>
      </c>
      <c r="F20" s="22"/>
      <c r="G20" s="19" t="s">
        <v>137</v>
      </c>
      <c r="H20" s="24"/>
      <c r="I20" s="24"/>
      <c r="J20" s="24"/>
      <c r="K20" s="24"/>
      <c r="L20" s="22"/>
    </row>
    <row r="21" spans="1:16">
      <c r="A21" s="35">
        <v>23</v>
      </c>
      <c r="B21" s="16" t="s">
        <v>75</v>
      </c>
      <c r="C21" s="16"/>
      <c r="D21" s="16" t="s">
        <v>138</v>
      </c>
      <c r="E21" s="16" t="str">
        <f>IF(ISBLANK(F21),G21,IF(ISBLANK(M21),_xlfn.CONCAT($J$1,C21,G21,$J$1,": ",,$J$1,D21,$J$1,IF(LEFT(E22,1)="}","",",")),_xlfn.CONCAT($J$1,C21,G21,$J$1,": ",,,D21,,IF(LEFT(E22,1)="}","",","))))</f>
        <v>"street": "Langestr",</v>
      </c>
      <c r="F21" s="4" t="s">
        <v>87</v>
      </c>
      <c r="G21" s="14" t="s">
        <v>139</v>
      </c>
      <c r="H21" s="14" t="s">
        <v>140</v>
      </c>
      <c r="I21" s="14" t="s">
        <v>141</v>
      </c>
      <c r="J21" s="14" t="s">
        <v>80</v>
      </c>
      <c r="K21" s="14">
        <v>35</v>
      </c>
      <c r="N21" t="s">
        <v>112</v>
      </c>
      <c r="O21" t="s">
        <v>142</v>
      </c>
    </row>
    <row r="22" spans="1:16">
      <c r="A22" s="35">
        <v>24</v>
      </c>
      <c r="B22" s="16" t="s">
        <v>75</v>
      </c>
      <c r="C22" s="16"/>
      <c r="D22" s="16">
        <v>7</v>
      </c>
      <c r="E22" s="16" t="str">
        <f>IF(ISBLANK(F22),G22,IF(ISBLANK(M22),_xlfn.CONCAT($J$1,C22,G22,$J$1,": ",,$J$1,D22,$J$1,IF(LEFT(E23,1)="}","",",")),_xlfn.CONCAT($J$1,C22,G22,$J$1,": ",,,D22,,IF(LEFT(E23,1)="}","",","))))</f>
        <v>"houseNumber": "7",</v>
      </c>
      <c r="F22" s="4" t="s">
        <v>87</v>
      </c>
      <c r="G22" s="14" t="s">
        <v>143</v>
      </c>
      <c r="H22" s="14" t="s">
        <v>144</v>
      </c>
      <c r="I22" s="14" t="s">
        <v>145</v>
      </c>
      <c r="J22" s="14" t="s">
        <v>80</v>
      </c>
      <c r="K22" s="14">
        <v>10</v>
      </c>
      <c r="N22" t="s">
        <v>112</v>
      </c>
      <c r="O22" t="s">
        <v>146</v>
      </c>
    </row>
    <row r="23" spans="1:16">
      <c r="A23" s="35">
        <v>25</v>
      </c>
      <c r="B23" s="16" t="s">
        <v>75</v>
      </c>
      <c r="C23" s="16"/>
      <c r="D23" s="16" t="s">
        <v>147</v>
      </c>
      <c r="E23" s="16" t="str">
        <f>IF(ISBLANK(F23),G23,IF(ISBLANK(M23),_xlfn.CONCAT($J$1,C23,G23,$J$1,": ",,$J$1,D23,$J$1,IF(LEFT(E24,1)="}","",",")),_xlfn.CONCAT($J$1,C23,G23,$J$1,": ",,,D23,,IF(LEFT(E24,1)="}","",","))))</f>
        <v>"houseNumberSupplement": "uns eck",</v>
      </c>
      <c r="F23" s="4" t="s">
        <v>87</v>
      </c>
      <c r="G23" s="14" t="s">
        <v>148</v>
      </c>
      <c r="H23" s="14" t="s">
        <v>149</v>
      </c>
      <c r="I23" s="14"/>
      <c r="J23" s="14" t="s">
        <v>80</v>
      </c>
      <c r="K23" s="14">
        <v>10</v>
      </c>
      <c r="N23" t="s">
        <v>112</v>
      </c>
      <c r="O23" t="s">
        <v>150</v>
      </c>
    </row>
    <row r="24" spans="1:16">
      <c r="A24" s="35">
        <v>26</v>
      </c>
      <c r="B24" s="16" t="s">
        <v>75</v>
      </c>
      <c r="C24" s="16"/>
      <c r="D24" s="16">
        <v>123456</v>
      </c>
      <c r="E24" s="16" t="str">
        <f>IF(ISBLANK(F24),G24,IF(ISBLANK(M24),_xlfn.CONCAT($J$1,C24,G24,$J$1,": ",,$J$1,D24,$J$1,IF(LEFT(E25,1)="}","",",")),_xlfn.CONCAT($J$1,C24,G24,$J$1,": ",,,D24,,IF(LEFT(E25,1)="}","",","))))</f>
        <v>"postalCode": "123456",</v>
      </c>
      <c r="F24" s="4" t="s">
        <v>87</v>
      </c>
      <c r="G24" s="14" t="s">
        <v>151</v>
      </c>
      <c r="H24" s="14" t="s">
        <v>152</v>
      </c>
      <c r="I24" s="14" t="s">
        <v>153</v>
      </c>
      <c r="J24" s="14" t="s">
        <v>80</v>
      </c>
      <c r="K24" s="14">
        <v>10</v>
      </c>
      <c r="N24" t="s">
        <v>112</v>
      </c>
      <c r="O24" t="s">
        <v>154</v>
      </c>
    </row>
    <row r="25" spans="1:16">
      <c r="A25" s="35">
        <v>27</v>
      </c>
      <c r="B25" s="16" t="s">
        <v>75</v>
      </c>
      <c r="C25" s="16"/>
      <c r="D25" s="16" t="s">
        <v>155</v>
      </c>
      <c r="E25" s="16" t="str">
        <f>IF(ISBLANK(F25),G25,IF(ISBLANK(M25),_xlfn.CONCAT($J$1,C25,G25,$J$1,": ",,$J$1,D25,$J$1,IF(LEFT(E26,1)="}","",",")),_xlfn.CONCAT($J$1,C25,G25,$J$1,": ",,,D25,,IF(LEFT(E26,1)="}","",","))))</f>
        <v>"city": "Kingstown",</v>
      </c>
      <c r="F25" s="4" t="s">
        <v>87</v>
      </c>
      <c r="G25" s="14" t="s">
        <v>156</v>
      </c>
      <c r="H25" s="14" t="s">
        <v>157</v>
      </c>
      <c r="I25" s="14" t="s">
        <v>158</v>
      </c>
      <c r="J25" s="14" t="s">
        <v>80</v>
      </c>
      <c r="K25" s="14">
        <v>35</v>
      </c>
      <c r="N25" t="s">
        <v>112</v>
      </c>
      <c r="O25" t="s">
        <v>159</v>
      </c>
    </row>
    <row r="26" spans="1:16">
      <c r="A26" s="35">
        <v>28</v>
      </c>
      <c r="B26" s="16" t="s">
        <v>75</v>
      </c>
      <c r="C26" s="16"/>
      <c r="D26" s="16" t="s">
        <v>160</v>
      </c>
      <c r="E26" s="16" t="str">
        <f>IF(ISBLANK(F26),G26,IF(ISBLANK(M26),_xlfn.CONCAT($J$1,C26,G26,$J$1,": ",,$J$1,D26,$J$1,IF(LEFT(E27,1)="}","",",")),_xlfn.CONCAT($J$1,C26,G26,$J$1,": ",,,D26,,IF(LEFT(E27,1)="}","",","))))</f>
        <v>"district": "Ghetto",</v>
      </c>
      <c r="F26" s="4" t="s">
        <v>87</v>
      </c>
      <c r="G26" s="14" t="s">
        <v>161</v>
      </c>
      <c r="H26" s="14" t="s">
        <v>162</v>
      </c>
      <c r="I26" s="14"/>
      <c r="J26" s="14" t="s">
        <v>80</v>
      </c>
      <c r="K26" s="14">
        <v>40</v>
      </c>
      <c r="N26" t="s">
        <v>112</v>
      </c>
      <c r="O26" t="s">
        <v>163</v>
      </c>
    </row>
    <row r="27" spans="1:16" s="58" customFormat="1">
      <c r="A27" s="54">
        <v>29</v>
      </c>
      <c r="B27" s="55" t="s">
        <v>75</v>
      </c>
      <c r="C27" s="55"/>
      <c r="D27" s="55" t="s">
        <v>164</v>
      </c>
      <c r="E27" s="55" t="str">
        <f>IF(ISBLANK(F27),G27,IF(ISBLANK(M27),_xlfn.CONCAT($J$1,C27,G27,$J$1,": ",,$J$1,D27,$J$1,IF(LEFT(E28,1)="}","",",")),_xlfn.CONCAT($J$1,C27,G27,$J$1,": ",,,D27,,IF(LEFT(E28,1)="}","",","))))</f>
        <v>"Region": "ReaggeaPlains",</v>
      </c>
      <c r="F27" s="56" t="s">
        <v>87</v>
      </c>
      <c r="G27" s="57" t="s">
        <v>165</v>
      </c>
      <c r="H27" s="57" t="s">
        <v>166</v>
      </c>
      <c r="I27" s="57"/>
      <c r="J27" s="57" t="s">
        <v>80</v>
      </c>
      <c r="K27" s="57">
        <v>3</v>
      </c>
      <c r="L27" s="56"/>
      <c r="N27" s="58" t="s">
        <v>112</v>
      </c>
      <c r="O27" s="58" t="s">
        <v>167</v>
      </c>
      <c r="P27" s="59"/>
    </row>
    <row r="28" spans="1:16" s="58" customFormat="1">
      <c r="A28" s="54">
        <v>30</v>
      </c>
      <c r="B28" s="55" t="s">
        <v>75</v>
      </c>
      <c r="C28" s="55"/>
      <c r="D28" s="55" t="s">
        <v>168</v>
      </c>
      <c r="E28" s="55" t="str">
        <f>IF(ISBLANK(F28),G28,IF(ISBLANK(M28),_xlfn.CONCAT($J$1,C28,G28,$J$1,": ",,$J$1,D28,$J$1,IF(LEFT(E29,1)="}","",",")),_xlfn.CONCAT($J$1,C28,G28,$J$1,": ",,,D28,,IF(LEFT(E29,1)="}","",","))))</f>
        <v>"Regionalstrukturgruppe": "NamederRSG",</v>
      </c>
      <c r="F28" s="56" t="s">
        <v>87</v>
      </c>
      <c r="G28" s="57" t="s">
        <v>169</v>
      </c>
      <c r="H28" s="57" t="s">
        <v>170</v>
      </c>
      <c r="I28" s="57"/>
      <c r="J28" s="57" t="s">
        <v>80</v>
      </c>
      <c r="K28" s="57">
        <v>8</v>
      </c>
      <c r="L28" s="56"/>
      <c r="N28" s="58" t="s">
        <v>112</v>
      </c>
      <c r="O28" s="58" t="s">
        <v>171</v>
      </c>
      <c r="P28" s="60"/>
    </row>
    <row r="29" spans="1:16">
      <c r="A29" s="35">
        <v>31</v>
      </c>
      <c r="B29" s="16" t="s">
        <v>75</v>
      </c>
      <c r="C29" s="16"/>
      <c r="D29" s="16" t="s">
        <v>172</v>
      </c>
      <c r="E29" s="16" t="str">
        <f>IF(ISBLANK(F29),G29,IF(ISBLANK(M29),_xlfn.CONCAT($J$1,C29,G29,$J$1,": ",,$J$1,D29,$J$1,IF(LEFT(E30,1)="}","",",")),_xlfn.CONCAT($J$1,C29,G29,$J$1,": ",,,D29,,IF(LEFT(E30,1)="}","",","))))</f>
        <v>"country": "AT",</v>
      </c>
      <c r="F29" s="4" t="s">
        <v>87</v>
      </c>
      <c r="G29" s="14" t="s">
        <v>173</v>
      </c>
      <c r="H29" s="14" t="s">
        <v>174</v>
      </c>
      <c r="I29" s="14" t="s">
        <v>175</v>
      </c>
      <c r="J29" s="14" t="s">
        <v>80</v>
      </c>
      <c r="K29" s="14">
        <v>3</v>
      </c>
      <c r="L29" s="56" t="s">
        <v>90</v>
      </c>
      <c r="N29" s="61" t="s">
        <v>91</v>
      </c>
      <c r="O29" t="s">
        <v>176</v>
      </c>
    </row>
    <row r="30" spans="1:16">
      <c r="A30" s="35">
        <v>32</v>
      </c>
      <c r="B30" s="16" t="s">
        <v>75</v>
      </c>
      <c r="C30" s="16"/>
      <c r="D30" s="16" t="s">
        <v>177</v>
      </c>
      <c r="E30" s="16" t="str">
        <f>IF(ISBLANK(F30),G30,IF(ISBLANK(M30),_xlfn.CONCAT($J$1,C30,G30,$J$1,": ",,$J$1,D30,$J$1,IF(LEFT(E31,1)="}","",",")),_xlfn.CONCAT($J$1,C30,G30,$J$1,": ",,,D30,,IF(LEFT(E31,1)="}","",","))))</f>
        <v>"addressUsage": "XXDEFAULT"</v>
      </c>
      <c r="F30" s="4" t="s">
        <v>87</v>
      </c>
      <c r="G30" s="14" t="s">
        <v>178</v>
      </c>
      <c r="H30" s="14" t="s">
        <v>179</v>
      </c>
      <c r="I30" s="14"/>
      <c r="J30" s="14" t="s">
        <v>80</v>
      </c>
      <c r="K30" s="14"/>
      <c r="N30" t="s">
        <v>180</v>
      </c>
    </row>
    <row r="31" spans="1:16" s="25" customFormat="1">
      <c r="A31" s="35">
        <v>33</v>
      </c>
      <c r="B31" s="19"/>
      <c r="C31" s="19"/>
      <c r="D31" s="19"/>
      <c r="E31" s="19" t="str">
        <f>IF(ISBLANK(F31),G31,IF(ISBLANK(M31),_xlfn.CONCAT($J$1,C31,G31,$J$1,": ",,$J$1,D31,$J$1,IF(LEFT(E32,1)="}","",",")),_xlfn.CONCAT($J$1,C31,G31,$J$1,": ",,,D31,,IF(LEFT(E32,1)="}","",","))))</f>
        <v>},</v>
      </c>
      <c r="F31" s="22"/>
      <c r="G31" s="19" t="s">
        <v>93</v>
      </c>
      <c r="H31" s="24"/>
      <c r="I31" s="24"/>
      <c r="J31" s="24"/>
      <c r="K31" s="24"/>
      <c r="L31" s="22"/>
    </row>
    <row r="32" spans="1:16" s="25" customFormat="1">
      <c r="A32" s="35">
        <v>34</v>
      </c>
      <c r="B32" s="26"/>
      <c r="C32" s="19"/>
      <c r="D32" s="19"/>
      <c r="E32" s="19" t="str">
        <f>IF(ISBLANK(F32),G32,IF(ISBLANK(M32),_xlfn.CONCAT($J$1,C32,G32,$J$1,": ",,$J$1,D32,$J$1,IF(LEFT(E33,1)="}","",",")),_xlfn.CONCAT($J$1,C32,G32,$J$1,": ",,,D32,,IF(LEFT(E33,1)="}","",","))))</f>
        <v>"PoBox": {</v>
      </c>
      <c r="F32" s="22"/>
      <c r="G32" s="19" t="s">
        <v>181</v>
      </c>
      <c r="H32" s="24"/>
      <c r="I32" s="24"/>
      <c r="J32" s="24"/>
      <c r="K32" s="24"/>
      <c r="L32" s="22"/>
    </row>
    <row r="33" spans="1:16">
      <c r="A33" s="35">
        <v>35</v>
      </c>
      <c r="B33" s="16" t="s">
        <v>75</v>
      </c>
      <c r="C33" s="16"/>
      <c r="D33" s="16" t="s">
        <v>155</v>
      </c>
      <c r="E33" s="16" t="str">
        <f>IF(ISBLANK(F33),G33,IF(ISBLANK(M33),_xlfn.CONCAT($J$1,C33,G33,$J$1,": ",,$J$1,D33,$J$1,IF(LEFT(E34,1)="}","",",")),_xlfn.CONCAT($J$1,C33,G33,$J$1,": ",,,D33,,IF(LEFT(E34,1)="}","",","))))</f>
        <v>"poBoxPostalCity": "Kingstown",</v>
      </c>
      <c r="F33" s="4" t="s">
        <v>87</v>
      </c>
      <c r="G33" s="14" t="s">
        <v>182</v>
      </c>
      <c r="H33" s="14" t="s">
        <v>183</v>
      </c>
      <c r="I33" s="14"/>
      <c r="J33" s="14" t="s">
        <v>80</v>
      </c>
      <c r="K33" s="14">
        <v>40</v>
      </c>
      <c r="N33" t="s">
        <v>112</v>
      </c>
      <c r="O33" t="s">
        <v>184</v>
      </c>
    </row>
    <row r="34" spans="1:16">
      <c r="A34" s="35">
        <v>36</v>
      </c>
      <c r="B34" s="16" t="s">
        <v>75</v>
      </c>
      <c r="C34" s="16"/>
      <c r="D34" s="16">
        <v>123456</v>
      </c>
      <c r="E34" s="16" t="str">
        <f>IF(ISBLANK(F34),G34,IF(ISBLANK(M34),_xlfn.CONCAT($J$1,C34,G34,$J$1,": ",,$J$1,D34,$J$1,IF(LEFT(E35,1)="}","",",")),_xlfn.CONCAT($J$1,C34,G34,$J$1,": ",,,D34,,IF(LEFT(E35,1)="}","",","))))</f>
        <v>"poBoxPostalCode": "123456",</v>
      </c>
      <c r="F34" s="4" t="s">
        <v>87</v>
      </c>
      <c r="G34" s="14" t="s">
        <v>185</v>
      </c>
      <c r="H34" s="14" t="s">
        <v>186</v>
      </c>
      <c r="I34" s="14"/>
      <c r="J34" s="14" t="s">
        <v>80</v>
      </c>
      <c r="K34" s="14">
        <v>10</v>
      </c>
      <c r="N34" t="s">
        <v>112</v>
      </c>
      <c r="O34" t="s">
        <v>187</v>
      </c>
    </row>
    <row r="35" spans="1:16">
      <c r="A35" s="35">
        <v>37</v>
      </c>
      <c r="B35" s="16" t="s">
        <v>75</v>
      </c>
      <c r="C35" s="16"/>
      <c r="D35" s="16" t="s">
        <v>188</v>
      </c>
      <c r="E35" s="16" t="str">
        <f>IF(ISBLANK(F35),G35,IF(ISBLANK(M35),_xlfn.CONCAT($J$1,C35,G35,$J$1,": ",,$J$1,D35,$J$1,IF(LEFT(E36,1)="}","",",")),_xlfn.CONCAT($J$1,C35,G35,$J$1,": ",,,D35,,IF(LEFT(E36,1)="}","",","))))</f>
        <v>"poBox": "PO Box 73a",</v>
      </c>
      <c r="F35" s="4" t="s">
        <v>87</v>
      </c>
      <c r="G35" s="14" t="s">
        <v>189</v>
      </c>
      <c r="H35" s="14" t="s">
        <v>190</v>
      </c>
      <c r="I35" s="14"/>
      <c r="J35" s="14" t="s">
        <v>80</v>
      </c>
      <c r="K35" s="14">
        <v>10</v>
      </c>
      <c r="N35" t="s">
        <v>112</v>
      </c>
      <c r="O35" t="s">
        <v>191</v>
      </c>
      <c r="P35" s="39"/>
    </row>
    <row r="36" spans="1:16">
      <c r="A36" s="35">
        <v>38</v>
      </c>
      <c r="B36" s="16" t="s">
        <v>75</v>
      </c>
      <c r="C36" s="16"/>
      <c r="D36" s="16" t="s">
        <v>172</v>
      </c>
      <c r="E36" s="16" t="str">
        <f>IF(ISBLANK(F36),G36,IF(ISBLANK(M36),_xlfn.CONCAT($J$1,C36,G36,$J$1,": ",,$J$1,D36,$J$1,IF(LEFT(E37,1)="}","",",")),_xlfn.CONCAT($J$1,C36,G36,$J$1,": ",,,D36,,IF(LEFT(E37,1)="}","",","))))</f>
        <v>"poBoxPostalCountry": "AT",</v>
      </c>
      <c r="F36" s="4" t="s">
        <v>87</v>
      </c>
      <c r="G36" s="14" t="s">
        <v>192</v>
      </c>
      <c r="H36" s="14" t="s">
        <v>193</v>
      </c>
      <c r="I36" s="14"/>
      <c r="J36" s="14" t="s">
        <v>80</v>
      </c>
      <c r="K36" s="14">
        <v>3</v>
      </c>
      <c r="L36" s="56" t="s">
        <v>90</v>
      </c>
      <c r="N36" s="61" t="s">
        <v>91</v>
      </c>
      <c r="O36" t="s">
        <v>194</v>
      </c>
    </row>
    <row r="37" spans="1:16">
      <c r="A37" s="35">
        <v>39</v>
      </c>
      <c r="B37" s="16" t="s">
        <v>75</v>
      </c>
      <c r="C37" s="16"/>
      <c r="D37" s="16" t="s">
        <v>195</v>
      </c>
      <c r="E37" s="16" t="str">
        <f>IF(ISBLANK(F37),G37,IF(ISBLANK(M37),_xlfn.CONCAT($J$1,C37,G37,$J$1,": ",,$J$1,D37,$J$1,IF(LEFT(E38,1)="}","",",")),_xlfn.CONCAT($J$1,C37,G37,$J$1,": ",,,D37,,IF(LEFT(E38,1)="}","",","))))</f>
        <v>"poBoxPostalRegion": "KMA"</v>
      </c>
      <c r="F37" s="4" t="s">
        <v>87</v>
      </c>
      <c r="G37" s="14" t="s">
        <v>196</v>
      </c>
      <c r="H37" s="14" t="s">
        <v>197</v>
      </c>
      <c r="I37" s="14"/>
      <c r="J37" s="14" t="s">
        <v>80</v>
      </c>
      <c r="K37" s="14">
        <v>3</v>
      </c>
      <c r="N37" t="s">
        <v>112</v>
      </c>
      <c r="O37" t="s">
        <v>198</v>
      </c>
      <c r="P37" s="39"/>
    </row>
    <row r="38" spans="1:16" s="25" customFormat="1">
      <c r="A38" s="35">
        <v>40</v>
      </c>
      <c r="B38" s="19"/>
      <c r="C38" s="19" t="str">
        <f t="shared" si="1"/>
        <v/>
      </c>
      <c r="D38" s="19"/>
      <c r="E38" s="19" t="str">
        <f>IF(ISBLANK(F38),G38,IF(ISBLANK(M38),_xlfn.CONCAT($J$1,C38,G38,$J$1,": ",,$J$1,D38,$J$1,IF(LEFT(E39,1)="}","",",")),_xlfn.CONCAT($J$1,C38,G38,$J$1,": ",,,D38,,IF(LEFT(E39,1)="}","",","))))</f>
        <v>},</v>
      </c>
      <c r="F38" s="22"/>
      <c r="G38" s="19" t="s">
        <v>93</v>
      </c>
      <c r="H38" s="24"/>
      <c r="I38" s="24"/>
      <c r="J38" s="24"/>
      <c r="K38" s="24"/>
      <c r="L38" s="22"/>
    </row>
    <row r="39" spans="1:16" s="25" customFormat="1">
      <c r="A39" s="35">
        <v>41</v>
      </c>
      <c r="B39" s="27"/>
      <c r="C39" s="19"/>
      <c r="D39" s="19"/>
      <c r="E39" s="19" t="str">
        <f>IF(ISBLANK(F39),G39,IF(ISBLANK(M39),_xlfn.CONCAT($J$1,C39,G39,$J$1,": ",,$J$1,D39,$J$1,IF(LEFT(E40,1)="}","",",")),_xlfn.CONCAT($J$1,C39,G39,$J$1,": ",,,D39,,IF(LEFT(E40,1)="}","",","))))</f>
        <v>"Identification": {</v>
      </c>
      <c r="F39" s="22"/>
      <c r="G39" s="19" t="s">
        <v>199</v>
      </c>
      <c r="H39" s="22"/>
      <c r="I39" s="22"/>
      <c r="J39" s="22"/>
      <c r="K39" s="22"/>
      <c r="L39" s="22"/>
    </row>
    <row r="40" spans="1:16">
      <c r="A40" s="35">
        <v>42</v>
      </c>
      <c r="B40" s="16" t="s">
        <v>75</v>
      </c>
      <c r="C40" s="16"/>
      <c r="D40" s="16" t="s">
        <v>200</v>
      </c>
      <c r="E40" s="16" t="str">
        <f>IF(ISBLANK(F40),G40,IF(ISBLANK(M40),_xlfn.CONCAT($J$1,C40,G40,$J$1,": ",,$J$1,D40,$J$1,IF(LEFT(E41,1)="}","",",")),_xlfn.CONCAT($J$1,C40,G40,$J$1,": ",,,D40,,IF(LEFT(E41,1)="}","",","))))</f>
        <v>"identifactionType": "xxx",</v>
      </c>
      <c r="F40" s="4" t="s">
        <v>77</v>
      </c>
      <c r="G40" s="14" t="s">
        <v>201</v>
      </c>
      <c r="H40" s="14" t="s">
        <v>202</v>
      </c>
      <c r="I40" s="14"/>
      <c r="J40" s="14" t="s">
        <v>80</v>
      </c>
      <c r="K40" s="14">
        <v>6</v>
      </c>
      <c r="L40" s="4" t="s">
        <v>90</v>
      </c>
      <c r="N40" t="s">
        <v>203</v>
      </c>
      <c r="O40" t="s">
        <v>204</v>
      </c>
      <c r="P40" s="28"/>
    </row>
    <row r="41" spans="1:16">
      <c r="A41" s="35">
        <v>43</v>
      </c>
      <c r="B41" s="16" t="s">
        <v>75</v>
      </c>
      <c r="C41" s="16"/>
      <c r="D41" s="16" t="s">
        <v>200</v>
      </c>
      <c r="E41" s="16" t="str">
        <f>IF(ISBLANK(F41),G41,IF(ISBLANK(M41),_xlfn.CONCAT($J$1,C41,G41,$J$1,": ",,$J$1,D41,$J$1,IF(LEFT(E42,1)="}","",",")),_xlfn.CONCAT($J$1,C41,G41,$J$1,": ",,,D41,,IF(LEFT(E42,1)="}","",","))))</f>
        <v>"identificationNumber": "xxx"</v>
      </c>
      <c r="F41" s="4" t="s">
        <v>87</v>
      </c>
      <c r="G41" s="14" t="s">
        <v>205</v>
      </c>
      <c r="H41" s="14" t="s">
        <v>206</v>
      </c>
      <c r="I41" s="14"/>
      <c r="J41" s="14" t="s">
        <v>80</v>
      </c>
      <c r="K41" s="14">
        <v>60</v>
      </c>
      <c r="N41" t="s">
        <v>112</v>
      </c>
      <c r="O41" t="s">
        <v>207</v>
      </c>
      <c r="P41" s="28"/>
    </row>
    <row r="42" spans="1:16">
      <c r="A42" s="35"/>
      <c r="B42" s="19"/>
      <c r="C42" s="19"/>
      <c r="D42" s="19"/>
      <c r="E42" s="19" t="str">
        <f>IF(ISBLANK(F42),G42,IF(ISBLANK(M42),_xlfn.CONCAT($J$1,C42,G42,$J$1,": ",,$J$1,D42,$J$1,IF(LEFT(E43,1)="}","",",")),_xlfn.CONCAT($J$1,C42,G42,$J$1,": ",,,D42,,IF(LEFT(E43,1)="}","",","))))</f>
        <v>},</v>
      </c>
      <c r="F42" s="22"/>
      <c r="G42" s="24" t="s">
        <v>93</v>
      </c>
      <c r="H42" s="24"/>
      <c r="I42" s="24"/>
      <c r="J42" s="24"/>
      <c r="K42" s="24"/>
      <c r="L42" s="22"/>
      <c r="M42" s="25"/>
      <c r="N42" s="25"/>
      <c r="O42" s="25"/>
      <c r="P42" s="25"/>
    </row>
    <row r="43" spans="1:16" s="25" customFormat="1">
      <c r="A43" s="71"/>
      <c r="B43" s="19"/>
      <c r="C43" s="19"/>
      <c r="D43" s="19"/>
      <c r="E43" s="19" t="str">
        <f>IF(ISBLANK(F43),G43,IF(ISBLANK(M43),_xlfn.CONCAT($J$1,C43,G43,$J$1,": ",,$J$1,D43,$J$1,IF(LEFT(E44,1)="}","",",")),_xlfn.CONCAT($J$1,C43,G43,$J$1,": ",,,D43,,IF(LEFT(E44,1)="}","",","))))</f>
        <v>"TaxInformation": {</v>
      </c>
      <c r="F43" s="22"/>
      <c r="G43" s="24" t="s">
        <v>208</v>
      </c>
      <c r="H43" s="24"/>
      <c r="I43" s="24"/>
      <c r="J43" s="24"/>
      <c r="K43" s="24"/>
      <c r="L43" s="22"/>
    </row>
    <row r="44" spans="1:16" s="29" customFormat="1">
      <c r="A44" s="35">
        <v>44</v>
      </c>
      <c r="B44" s="31" t="s">
        <v>75</v>
      </c>
      <c r="C44" s="31"/>
      <c r="D44" s="31" t="s">
        <v>209</v>
      </c>
      <c r="E44" s="16" t="str">
        <f>IF(ISBLANK(F44),G44,IF(ISBLANK(M44),_xlfn.CONCAT($J$1,C44,G44,$J$1,": ",,$J$1,D44,$J$1,IF(LEFT(E45,1)="}","",",")),_xlfn.CONCAT($J$1,C44,G44,$J$1,": ",,,D44,,IF(LEFT(E45,1)="}","",","))))</f>
        <v>"taxNumberType": "AT0",</v>
      </c>
      <c r="F44" s="32" t="s">
        <v>77</v>
      </c>
      <c r="G44" s="14" t="s">
        <v>210</v>
      </c>
      <c r="H44" s="14" t="s">
        <v>211</v>
      </c>
      <c r="I44" s="14" t="s">
        <v>212</v>
      </c>
      <c r="J44" s="14" t="s">
        <v>80</v>
      </c>
      <c r="K44" s="14">
        <v>4</v>
      </c>
      <c r="L44" s="32"/>
      <c r="N44" s="29" t="s">
        <v>112</v>
      </c>
      <c r="O44" s="34" t="s">
        <v>213</v>
      </c>
      <c r="P44" s="34"/>
    </row>
    <row r="45" spans="1:16">
      <c r="A45" s="35">
        <v>45</v>
      </c>
      <c r="B45" s="16" t="s">
        <v>75</v>
      </c>
      <c r="C45" s="16"/>
      <c r="D45" s="16" t="s">
        <v>214</v>
      </c>
      <c r="E45" s="16" t="str">
        <f>IF(ISBLANK(F45),G45,IF(ISBLANK(M45),_xlfn.CONCAT($J$1,C45,G45,$J$1,": ",,$J$1,D45,$J$1,IF(LEFT(E46,1)="}","",",")),_xlfn.CONCAT($J$1,C45,G45,$J$1,": ",,,D45,,IF(LEFT(E46,1)="}","",","))))</f>
        <v>"taxNumber": "ATU123213812"</v>
      </c>
      <c r="F45" s="4" t="s">
        <v>87</v>
      </c>
      <c r="G45" s="63" t="s">
        <v>215</v>
      </c>
      <c r="H45" s="14" t="s">
        <v>216</v>
      </c>
      <c r="I45" s="14"/>
      <c r="J45" s="14" t="s">
        <v>80</v>
      </c>
      <c r="K45" s="14">
        <v>40</v>
      </c>
      <c r="N45" t="s">
        <v>112</v>
      </c>
      <c r="O45" s="34" t="s">
        <v>217</v>
      </c>
    </row>
    <row r="46" spans="1:16" s="25" customFormat="1">
      <c r="A46" s="71"/>
      <c r="B46" s="19"/>
      <c r="C46" s="19"/>
      <c r="D46" s="19"/>
      <c r="E46" s="19" t="str">
        <f>IF(ISBLANK(F46),G46,IF(ISBLANK(M46),_xlfn.CONCAT($J$1,C46,G46,$J$1,": ",,$J$1,D46,$J$1,IF(LEFT(E47,1)="}","",",")),_xlfn.CONCAT($J$1,C46,G46,$J$1,": ",,,D46,,IF(LEFT(E47,1)="}","",","))))</f>
        <v>},</v>
      </c>
      <c r="F46" s="22"/>
      <c r="G46" s="72" t="s">
        <v>93</v>
      </c>
      <c r="H46" s="24"/>
      <c r="I46" s="24"/>
      <c r="J46" s="24"/>
      <c r="K46" s="24"/>
      <c r="L46" s="22"/>
    </row>
    <row r="47" spans="1:16">
      <c r="A47" s="35">
        <v>46</v>
      </c>
      <c r="B47" s="16" t="s">
        <v>99</v>
      </c>
      <c r="C47" s="16"/>
      <c r="D47" s="16" t="s">
        <v>218</v>
      </c>
      <c r="E47" s="16" t="str">
        <f>IF(ISBLANK(F47),G47,IF(ISBLANK(M47),_xlfn.CONCAT($J$1,C47,G47,$J$1,": ",,$J$1,D47,$J$1,IF(LEFT(E48,1)="}","",",")),_xlfn.CONCAT($J$1,C47,G47,$J$1,": ",,,D47,,IF(LEFT(E48,1)="}","",","))))</f>
        <v>"dateOfBirth": "2012-04-21T18:25:43-05:00",</v>
      </c>
      <c r="F47" s="4" t="s">
        <v>87</v>
      </c>
      <c r="G47" s="14" t="s">
        <v>219</v>
      </c>
      <c r="H47" s="14" t="s">
        <v>220</v>
      </c>
      <c r="I47" s="14" t="s">
        <v>221</v>
      </c>
      <c r="J47" s="14" t="s">
        <v>222</v>
      </c>
      <c r="K47" s="14">
        <v>8</v>
      </c>
      <c r="L47" s="14"/>
      <c r="N47" t="s">
        <v>112</v>
      </c>
      <c r="O47" t="s">
        <v>223</v>
      </c>
    </row>
    <row r="48" spans="1:16">
      <c r="A48" s="35">
        <v>47</v>
      </c>
      <c r="B48" s="16" t="s">
        <v>119</v>
      </c>
      <c r="C48" s="16"/>
      <c r="D48" s="16" t="s">
        <v>218</v>
      </c>
      <c r="E48" s="16" t="str">
        <f>IF(ISBLANK(F48),G48,IF(ISBLANK(M48),_xlfn.CONCAT($J$1,C48,G48,$J$1,": ",,$J$1,D48,$J$1,IF(LEFT(E49,1)="}","",",")),_xlfn.CONCAT($J$1,C48,G48,$J$1,": ",,,D48,,IF(LEFT(E49,1)="}","",","))))</f>
        <v>"orgFoundationDate": "2012-04-21T18:25:43-05:00",</v>
      </c>
      <c r="F48" s="4" t="s">
        <v>87</v>
      </c>
      <c r="G48" s="14" t="s">
        <v>224</v>
      </c>
      <c r="H48" s="14" t="s">
        <v>225</v>
      </c>
      <c r="I48" s="14"/>
      <c r="J48" s="14" t="s">
        <v>222</v>
      </c>
      <c r="K48" s="14">
        <v>8</v>
      </c>
      <c r="N48" t="s">
        <v>112</v>
      </c>
      <c r="O48" t="s">
        <v>226</v>
      </c>
    </row>
    <row r="49" spans="1:16" s="29" customFormat="1">
      <c r="A49" s="35">
        <v>48</v>
      </c>
      <c r="B49" s="31" t="s">
        <v>119</v>
      </c>
      <c r="C49" s="31"/>
      <c r="D49" s="31" t="s">
        <v>200</v>
      </c>
      <c r="E49" s="16" t="str">
        <f>IF(ISBLANK(F49),G49,IF(ISBLANK(M49),_xlfn.CONCAT($J$1,C49,G49,$J$1,": ",,$J$1,D49,$J$1,IF(LEFT(E50,1)="}","",",")),_xlfn.CONCAT($J$1,C49,G49,$J$1,": ",,,D49,,IF(LEFT(E50,1)="}","",","))))</f>
        <v>"industry": "xxx",</v>
      </c>
      <c r="F49" s="32" t="s">
        <v>87</v>
      </c>
      <c r="G49" s="14" t="s">
        <v>227</v>
      </c>
      <c r="H49" s="14" t="s">
        <v>228</v>
      </c>
      <c r="I49" s="14"/>
      <c r="J49" s="14" t="s">
        <v>80</v>
      </c>
      <c r="K49" s="14">
        <v>10</v>
      </c>
      <c r="L49" s="32"/>
      <c r="N49" s="29" t="s">
        <v>229</v>
      </c>
      <c r="O49" s="29" t="s">
        <v>230</v>
      </c>
      <c r="P49" s="39"/>
    </row>
    <row r="50" spans="1:16">
      <c r="A50" s="35">
        <v>49</v>
      </c>
      <c r="B50" s="16" t="s">
        <v>119</v>
      </c>
      <c r="C50" s="16"/>
      <c r="D50" s="16" t="s">
        <v>231</v>
      </c>
      <c r="E50" s="16" t="str">
        <f>IF(ISBLANK(F50),G50,IF(ISBLANK(M50),_xlfn.CONCAT($J$1,C50,G50,$J$1,": ",,$J$1,D50,$J$1,IF(LEFT(E51,1)="}","",",")),_xlfn.CONCAT($J$1,C50,G50,$J$1,": ",,,D50,,IF(LEFT(E51,1)="}","",","))))</f>
        <v>"Branchensystem": "Z001",</v>
      </c>
      <c r="F50" s="4" t="s">
        <v>87</v>
      </c>
      <c r="G50" s="14" t="s">
        <v>232</v>
      </c>
      <c r="H50" s="14" t="s">
        <v>233</v>
      </c>
      <c r="I50" s="14"/>
      <c r="J50" s="14" t="s">
        <v>80</v>
      </c>
      <c r="K50" s="14">
        <v>4</v>
      </c>
      <c r="N50" t="s">
        <v>234</v>
      </c>
    </row>
    <row r="51" spans="1:16">
      <c r="B51" s="16" t="s">
        <v>99</v>
      </c>
      <c r="C51" s="16"/>
      <c r="D51" s="16" t="s">
        <v>218</v>
      </c>
      <c r="E51" s="16" t="str">
        <f>IF(ISBLANK(F51),G51,IF(ISBLANK(M51),_xlfn.CONCAT($J$1,C51,G51,$J$1,": ",,$J$1,D51,$J$1,IF(LEFT(E52,1)="}","",",")),_xlfn.CONCAT($J$1,C51,G51,$J$1,": ",,,D51,,IF(LEFT(E52,1)="}","",","))))</f>
        <v>"dateOfDeath": "2012-04-21T18:25:43-05:00",</v>
      </c>
      <c r="F51" s="4" t="s">
        <v>87</v>
      </c>
      <c r="G51" s="16" t="s">
        <v>235</v>
      </c>
      <c r="O51" t="s">
        <v>236</v>
      </c>
    </row>
    <row r="52" spans="1:16">
      <c r="B52" s="31" t="s">
        <v>119</v>
      </c>
      <c r="D52" s="16" t="s">
        <v>218</v>
      </c>
      <c r="E52" s="16" t="str">
        <f>IF(ISBLANK(F52),G52,IF(ISBLANK(M52),_xlfn.CONCAT($J$1,C52,G52,$J$1,": ",,$J$1,D52,$J$1,IF(LEFT(E53,1)="}","",",")),_xlfn.CONCAT($J$1,C52,G52,$J$1,": ",,,D52,,IF(LEFT(E53,1)="}","",","))))</f>
        <v>"orgLiquidationDate": "2012-04-21T18:25:43-05:00",</v>
      </c>
      <c r="F52" s="4" t="s">
        <v>87</v>
      </c>
      <c r="G52" s="16" t="s">
        <v>237</v>
      </c>
      <c r="O52" t="s">
        <v>238</v>
      </c>
    </row>
    <row r="53" spans="1:16">
      <c r="B53" s="66"/>
      <c r="C53" s="66"/>
      <c r="D53" s="66"/>
      <c r="E53" s="66" t="str">
        <f>IF(ISBLANK(F53),G53,IF(ISBLANK(M53),_xlfn.CONCAT($J$1,C53,G53,$J$1,": ",,$J$1,D53,$J$1,IF(LEFT(E54,1)="}","",",")),_xlfn.CONCAT($J$1,C53,G53,$J$1,": ",,,D53,,IF(LEFT(E54,1)="}","",","))))</f>
        <v>"Communication": {</v>
      </c>
      <c r="F53" s="66"/>
      <c r="G53" s="66" t="s">
        <v>239</v>
      </c>
      <c r="H53" s="19"/>
      <c r="I53" s="19"/>
      <c r="J53" s="19"/>
      <c r="K53" s="19"/>
      <c r="L53" s="19"/>
      <c r="M53" s="19"/>
      <c r="N53" s="19"/>
    </row>
    <row r="54" spans="1:16">
      <c r="B54" s="67" t="s">
        <v>75</v>
      </c>
      <c r="C54" s="68"/>
      <c r="D54" s="69" t="s">
        <v>240</v>
      </c>
      <c r="E54" s="67" t="str">
        <f>IF(ISBLANK(F54),G54,IF(ISBLANK(M54),_xlfn.CONCAT($J$1,C54,G54,$J$1,": ",,$J$1,D54,$J$1,IF(LEFT(E55,1)="}","",",")),_xlfn.CONCAT($J$1,C54,G54,$J$1,": ",,,D54,,IF(LEFT(E55,1)="}","",","))))</f>
        <v>"email": "max@mustermann.at",</v>
      </c>
      <c r="F54" s="68" t="s">
        <v>87</v>
      </c>
      <c r="G54" s="67" t="s">
        <v>241</v>
      </c>
    </row>
    <row r="55" spans="1:16">
      <c r="B55" s="67" t="s">
        <v>75</v>
      </c>
      <c r="C55" s="68"/>
      <c r="D55" s="70" t="s">
        <v>242</v>
      </c>
      <c r="E55" s="67" t="str">
        <f>IF(ISBLANK(F55),G55,IF(ISBLANK(M55),_xlfn.CONCAT($J$1,C55,G55,$J$1,": ",,$J$1,D55,$J$1,IF(LEFT(E56,1)="}","",",")),_xlfn.CONCAT($J$1,C55,G55,$J$1,": ",,,D55,,IF(LEFT(E56,1)="}","",","))))</f>
        <v>"mobilephone": "+436864804805",</v>
      </c>
      <c r="F55" s="68" t="s">
        <v>87</v>
      </c>
      <c r="G55" s="67" t="s">
        <v>243</v>
      </c>
      <c r="P55" t="s">
        <v>244</v>
      </c>
    </row>
    <row r="56" spans="1:16">
      <c r="B56" s="67" t="s">
        <v>75</v>
      </c>
      <c r="C56" s="68"/>
      <c r="D56" s="70" t="s">
        <v>245</v>
      </c>
      <c r="E56" s="67" t="str">
        <f>IF(ISBLANK(F56),G56,IF(ISBLANK(M56),_xlfn.CONCAT($J$1,C56,G56,$J$1,": ",,$J$1,D56,$J$1,IF(LEFT(E57,1)="}","",",")),_xlfn.CONCAT($J$1,C56,G56,$J$1,": ",,,D56,,IF(LEFT(E57,1)="}","",","))))</f>
        <v>"telephone1": "+4323444804805"</v>
      </c>
      <c r="F56" s="68" t="s">
        <v>87</v>
      </c>
      <c r="G56" s="67" t="s">
        <v>246</v>
      </c>
      <c r="P56" t="s">
        <v>244</v>
      </c>
    </row>
    <row r="57" spans="1:16">
      <c r="E57" s="16" t="str">
        <f>IF(ISBLANK(F57),G57,IF(ISBLANK(M57),_xlfn.CONCAT($J$1,C57,G57,$J$1,": ",,$J$1,D57,$J$1,IF(LEFT(E58,1)="}","",",")),_xlfn.CONCAT($J$1,C57,G57,$J$1,": ",,,D57,,IF(LEFT(E58,1)="}","",","))))</f>
        <v>}</v>
      </c>
      <c r="G57" s="16" t="s">
        <v>247</v>
      </c>
    </row>
  </sheetData>
  <autoFilter ref="A2:P50" xr:uid="{02FB0506-52A2-4B73-BFD6-06CFDA61690E}"/>
  <mergeCells count="1">
    <mergeCell ref="A1:G1"/>
  </mergeCells>
  <phoneticPr fontId="8" type="noConversion"/>
  <hyperlinks>
    <hyperlink ref="D54" r:id="rId1" xr:uid="{C2DFA0C2-5362-4E71-9CB0-B09E6E3D6C6D}"/>
  </hyperlinks>
  <pageMargins left="0.7" right="0.7" top="0.75" bottom="0.75" header="0.3" footer="0.3"/>
  <pageSetup paperSize="9" orientation="portrait" r:id="rId2"/>
  <headerFooter>
    <oddFooter>&amp;L_x000D_&amp;1#&amp;"Aptos"&amp;10&amp;K000000 TLP:AMBER - vertraulich</oddFooter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D6B0-D4EF-4973-BE7B-B31F794A19D2}">
  <dimension ref="A1:P60"/>
  <sheetViews>
    <sheetView tabSelected="1" topLeftCell="D1" zoomScale="85" zoomScaleNormal="85" workbookViewId="0">
      <selection activeCell="O34" sqref="O34"/>
    </sheetView>
  </sheetViews>
  <sheetFormatPr defaultColWidth="8.85546875" defaultRowHeight="15"/>
  <cols>
    <col min="1" max="1" width="5" style="1" customWidth="1"/>
    <col min="2" max="2" width="22.7109375" style="4" customWidth="1"/>
    <col min="3" max="3" width="11" style="4" hidden="1" customWidth="1"/>
    <col min="4" max="4" width="35.140625" style="4" bestFit="1" customWidth="1"/>
    <col min="5" max="5" width="62.42578125" style="4" customWidth="1"/>
    <col min="6" max="6" width="6.28515625" style="4" customWidth="1"/>
    <col min="7" max="7" width="35.5703125" style="4" customWidth="1"/>
    <col min="8" max="8" width="56.85546875" style="4" customWidth="1"/>
    <col min="9" max="9" width="26.5703125" style="4" customWidth="1"/>
    <col min="10" max="10" width="13.42578125" style="4" customWidth="1"/>
    <col min="11" max="11" width="3.28515625" style="4" bestFit="1" customWidth="1"/>
    <col min="12" max="12" width="7" style="4" customWidth="1"/>
    <col min="13" max="13" width="13.7109375" customWidth="1"/>
    <col min="14" max="14" width="41.140625" customWidth="1"/>
    <col min="15" max="15" width="82.42578125" customWidth="1"/>
    <col min="16" max="16" width="86.42578125" customWidth="1"/>
  </cols>
  <sheetData>
    <row r="1" spans="1:16" ht="34.35" customHeight="1">
      <c r="A1" s="115" t="s">
        <v>248</v>
      </c>
      <c r="B1" s="116"/>
      <c r="C1" s="116"/>
      <c r="D1" s="116"/>
      <c r="E1" s="116"/>
      <c r="F1" s="116"/>
      <c r="G1" s="116"/>
      <c r="H1" s="17"/>
      <c r="I1" s="17"/>
      <c r="J1" s="17" t="s">
        <v>57</v>
      </c>
      <c r="K1" s="17"/>
      <c r="L1" s="17"/>
      <c r="M1" s="9"/>
      <c r="N1" s="2"/>
      <c r="O1" s="2"/>
      <c r="P1" s="2"/>
    </row>
    <row r="2" spans="1:16" s="4" customFormat="1" ht="30.75" customHeight="1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4</v>
      </c>
      <c r="H2" s="3" t="s">
        <v>64</v>
      </c>
      <c r="I2" s="13" t="s">
        <v>65</v>
      </c>
      <c r="J2" s="1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</row>
    <row r="3" spans="1:16" s="4" customFormat="1">
      <c r="A3" s="35">
        <v>1</v>
      </c>
      <c r="B3" s="18"/>
      <c r="C3" s="19" t="str">
        <f t="shared" ref="C3:C4" si="0">IF(B3="person","p_",(IF(B3="organisation","o_",(IF(B3="person/organisation","po_","")))))</f>
        <v/>
      </c>
      <c r="D3" s="19"/>
      <c r="E3" s="19" t="str">
        <f t="shared" ref="E3" si="1">IF(ISBLANK(F3),G3,IF(ISBLANK(M3),_xlfn.CONCAT($J$1,C3,G3,$J$1,": ",,$J$1,D3,$J$1,IF(LEFT(E4,1)="}","",",")),_xlfn.CONCAT($J$1,C3,G3,$J$1,": ",,,D3,,IF(LEFT(E4,1)="}","",","))))</f>
        <v>{</v>
      </c>
      <c r="F3" s="18"/>
      <c r="G3" s="23" t="s">
        <v>73</v>
      </c>
      <c r="H3" s="18"/>
      <c r="I3" s="21"/>
      <c r="J3" s="21"/>
      <c r="K3" s="18"/>
      <c r="L3" s="18"/>
      <c r="M3" s="18"/>
      <c r="N3" s="18"/>
      <c r="O3" s="18"/>
      <c r="P3" s="18"/>
    </row>
    <row r="4" spans="1:16" s="4" customFormat="1">
      <c r="A4" s="35">
        <v>2</v>
      </c>
      <c r="B4" s="23"/>
      <c r="C4" s="19" t="str">
        <f t="shared" si="0"/>
        <v/>
      </c>
      <c r="D4" s="19"/>
      <c r="E4" s="19" t="str">
        <f>IF(OR(ISBLANK(F4),ISNUMBER(FIND("Object",M4))),G4,
IF(OR(AND(ISBLANK(M4),D4&lt;&gt;"null"),ISNUMBER(FIND("Date",M4))),
_xlfn.CONCAT($J$1,C4,G4,$J$1,": ",,$J$1,D4,$J$1,IF(LEFT(E5,1)="}","",",")),
_xlfn.CONCAT($J$1,C4,G4,$J$1,": ",,,D4,,IF(LEFT(E5,1)="}","",","))))</f>
        <v>"Meta": {</v>
      </c>
      <c r="F4" s="18"/>
      <c r="G4" s="23" t="s">
        <v>74</v>
      </c>
      <c r="H4" s="18"/>
      <c r="I4" s="21"/>
      <c r="J4" s="21"/>
      <c r="K4" s="18"/>
      <c r="L4" s="18"/>
      <c r="M4" s="18"/>
      <c r="N4" s="18"/>
      <c r="O4" s="18"/>
      <c r="P4" s="18"/>
    </row>
    <row r="5" spans="1:16">
      <c r="A5" s="35">
        <v>3</v>
      </c>
      <c r="B5" s="16" t="s">
        <v>75</v>
      </c>
      <c r="C5" s="16"/>
      <c r="D5" s="16" t="s">
        <v>76</v>
      </c>
      <c r="E5" s="19" t="str">
        <f>IF(OR(ISBLANK(F5),ISNUMBER(FIND("Object",M5))),G5,
IF(OR(AND(ISBLANK(M5),D5&lt;&gt;"null"),ISNUMBER(FIND("Date",M5))),
_xlfn.CONCAT($J$1,C5,G5,$J$1,": ",,$J$1,D5,$J$1,IF(LEFT(E6,1)="}","",",")),
_xlfn.CONCAT($J$1,C5,G5,$J$1,": ",,,D5,,IF(LEFT(E6,1)="}","",","))))</f>
        <v>"accountCRMGuid": "1d471f69-969d-ee11-be37-6045bda1c84f",</v>
      </c>
      <c r="F5" s="4" t="s">
        <v>77</v>
      </c>
      <c r="G5" s="85" t="s">
        <v>249</v>
      </c>
      <c r="H5" s="14" t="s">
        <v>79</v>
      </c>
      <c r="I5" s="14"/>
      <c r="J5" s="14" t="s">
        <v>80</v>
      </c>
      <c r="K5" s="14">
        <v>36</v>
      </c>
      <c r="N5" t="s">
        <v>81</v>
      </c>
      <c r="O5" t="s">
        <v>82</v>
      </c>
    </row>
    <row r="6" spans="1:16">
      <c r="A6" s="35">
        <v>4</v>
      </c>
      <c r="B6" s="16" t="s">
        <v>75</v>
      </c>
      <c r="C6" s="16"/>
      <c r="D6" s="16" t="s">
        <v>250</v>
      </c>
      <c r="E6" s="19" t="str">
        <f>IF(OR(ISBLANK(F6),ISNUMBER(FIND("Object",M6))),G6,
IF(OR(AND(ISBLANK(M6),D6&lt;&gt;"null"),ISNUMBER(FIND("Date",M6))),
_xlfn.CONCAT($J$1,C6,G6,$J$1,": ",,$J$1,D6,$J$1,IF(LEFT(E7,1)="}","",",")),
_xlfn.CONCAT($J$1,C6,G6,$J$1,": ",,,D6,,IF(LEFT(E7,1)="}","",","))))</f>
        <v>"changeRequestCRMGuid": "1d471f69-969d-ee11-be37-6045bda1333",</v>
      </c>
      <c r="F6" s="4" t="s">
        <v>77</v>
      </c>
      <c r="G6" s="85" t="s">
        <v>251</v>
      </c>
      <c r="H6" s="14"/>
      <c r="I6" s="14"/>
      <c r="J6" s="14"/>
      <c r="K6" s="14"/>
      <c r="N6" t="s">
        <v>252</v>
      </c>
      <c r="O6" t="s">
        <v>253</v>
      </c>
    </row>
    <row r="7" spans="1:16">
      <c r="A7" s="35">
        <v>5</v>
      </c>
      <c r="B7" s="16" t="s">
        <v>75</v>
      </c>
      <c r="C7" s="16"/>
      <c r="D7" s="16">
        <v>1015234841</v>
      </c>
      <c r="E7" s="19" t="str">
        <f>IF(OR(ISBLANK(F7),ISNUMBER(FIND("Object",M7))),G7,
IF(OR(AND(ISBLANK(M7),D7&lt;&gt;"null"),ISNUMBER(FIND("Date",M7))),
_xlfn.CONCAT($J$1,C7,G7,$J$1,": ",,$J$1,D7,$J$1,IF(LEFT(E8,1)="}","",",")),
_xlfn.CONCAT($J$1,C7,G7,$J$1,": ",,,D7,,IF(LEFT(E8,1)="}","",","))))</f>
        <v>"businessCustomerId": "1015234841",</v>
      </c>
      <c r="F7" s="4" t="s">
        <v>77</v>
      </c>
      <c r="G7" s="85" t="s">
        <v>83</v>
      </c>
      <c r="H7" s="14" t="s">
        <v>84</v>
      </c>
      <c r="I7" s="14"/>
      <c r="J7" s="14" t="s">
        <v>80</v>
      </c>
      <c r="K7" s="14">
        <v>10</v>
      </c>
      <c r="N7" t="s">
        <v>112</v>
      </c>
      <c r="O7" t="s">
        <v>254</v>
      </c>
    </row>
    <row r="8" spans="1:16">
      <c r="A8" s="35">
        <v>6</v>
      </c>
      <c r="B8" s="16" t="s">
        <v>75</v>
      </c>
      <c r="C8" s="16"/>
      <c r="D8" s="16" t="s">
        <v>86</v>
      </c>
      <c r="E8" s="19" t="str">
        <f>IF(OR(ISBLANK(F8),ISNUMBER(FIND("Object",M8))),G8,
IF(OR(AND(ISBLANK(M8),D8&lt;&gt;"null"),ISNUMBER(FIND("Date",M8))),
_xlfn.CONCAT($J$1,C8,G8,$J$1,": ",,$J$1,D8,$J$1,IF(LEFT(E9,1)="}","",",")),
_xlfn.CONCAT($J$1,C8,G8,$J$1,": ",,,D8,,IF(LEFT(E9,1)="}","",","))))</f>
        <v>"classification": "IN"</v>
      </c>
      <c r="F8" s="4" t="s">
        <v>87</v>
      </c>
      <c r="G8" s="15" t="s">
        <v>88</v>
      </c>
      <c r="H8" s="38" t="s">
        <v>89</v>
      </c>
      <c r="I8" s="14"/>
      <c r="J8" s="14" t="s">
        <v>80</v>
      </c>
      <c r="K8" s="14">
        <v>4</v>
      </c>
      <c r="L8" s="4" t="s">
        <v>90</v>
      </c>
      <c r="N8" s="14" t="s">
        <v>91</v>
      </c>
      <c r="O8" t="s">
        <v>92</v>
      </c>
      <c r="P8" s="39"/>
    </row>
    <row r="9" spans="1:16">
      <c r="A9" s="35">
        <v>7</v>
      </c>
      <c r="B9" s="19"/>
      <c r="C9" s="19"/>
      <c r="D9" s="19"/>
      <c r="E9" s="19" t="str">
        <f>IF(OR(ISBLANK(F9),ISNUMBER(FIND("Object",M9))),G9,
IF(OR(AND(ISBLANK(M9),D9&lt;&gt;"null"),ISNUMBER(FIND("Date",M9))),
_xlfn.CONCAT($J$1,C9,G9,$J$1,": ",,$J$1,D9,$J$1,IF(LEFT(E10,1)="}","",",")),
_xlfn.CONCAT($J$1,C9,G9,$J$1,": ",,,D9,,IF(LEFT(E10,1)="}","",","))))</f>
        <v>},</v>
      </c>
      <c r="F9" s="22"/>
      <c r="G9" s="26" t="s">
        <v>93</v>
      </c>
      <c r="H9" s="24"/>
      <c r="I9" s="24"/>
      <c r="J9" s="24"/>
      <c r="K9" s="24"/>
      <c r="L9" s="22"/>
      <c r="M9" s="25"/>
      <c r="N9" s="25"/>
      <c r="O9" s="25"/>
      <c r="P9" s="25"/>
    </row>
    <row r="10" spans="1:16">
      <c r="A10" s="35">
        <v>8</v>
      </c>
      <c r="B10" s="26"/>
      <c r="C10" s="19"/>
      <c r="D10" s="19"/>
      <c r="E10" s="19" t="str">
        <f>IF(OR(ISBLANK(F10),ISNUMBER(FIND("Object",M10))),G10,
IF(OR(AND(ISBLANK(M10),D10&lt;&gt;"null"),ISNUMBER(FIND("Date",M10))),
_xlfn.CONCAT($J$1,C10,G10,$J$1,": ",,$J$1,D10,$J$1,IF(LEFT(E11,1)="}","",",")),
_xlfn.CONCAT($J$1,C10,G10,$J$1,": ",,,D10,,IF(LEFT(E11,1)="}","",","))))</f>
        <v>"Name": {</v>
      </c>
      <c r="F10" s="22"/>
      <c r="G10" s="26" t="s">
        <v>94</v>
      </c>
      <c r="H10" s="24"/>
      <c r="I10" s="24"/>
      <c r="J10" s="24"/>
      <c r="K10" s="24"/>
      <c r="L10" s="22"/>
      <c r="M10" s="25"/>
      <c r="N10" s="25"/>
      <c r="O10" s="25"/>
      <c r="P10" s="25"/>
    </row>
    <row r="11" spans="1:16">
      <c r="A11" s="35">
        <v>9</v>
      </c>
      <c r="B11" s="16" t="s">
        <v>75</v>
      </c>
      <c r="C11" s="16"/>
      <c r="D11" s="16" t="s">
        <v>95</v>
      </c>
      <c r="E11" s="19" t="str">
        <f>IF(OR(ISBLANK(F11),ISNUMBER(FIND("Object",M11))),G11,
IF(OR(AND(ISBLANK(M11),D11&lt;&gt;"null"),ISNUMBER(FIND("Date",M11))),
_xlfn.CONCAT($J$1,C11,G11,$J$1,": ",,$J$1,D11,$J$1,IF(LEFT(E12,1)="}","",",")),
_xlfn.CONCAT($J$1,C11,G11,$J$1,": ",,,D11,,IF(LEFT(E12,1)="}","",","))))</f>
        <v>"salutation": "Herr",</v>
      </c>
      <c r="F11" s="4" t="s">
        <v>87</v>
      </c>
      <c r="G11" s="15" t="s">
        <v>96</v>
      </c>
      <c r="H11" s="14" t="s">
        <v>97</v>
      </c>
      <c r="I11" s="14"/>
      <c r="J11" s="14" t="s">
        <v>80</v>
      </c>
      <c r="K11" s="14">
        <v>4</v>
      </c>
      <c r="L11" s="4" t="s">
        <v>90</v>
      </c>
      <c r="N11" s="14" t="s">
        <v>91</v>
      </c>
      <c r="O11" s="37" t="s">
        <v>98</v>
      </c>
      <c r="P11" s="39"/>
    </row>
    <row r="12" spans="1:16">
      <c r="A12" s="35">
        <v>10</v>
      </c>
      <c r="B12" s="16" t="s">
        <v>99</v>
      </c>
      <c r="C12" s="16"/>
      <c r="D12" s="16" t="s">
        <v>100</v>
      </c>
      <c r="E12" s="19" t="str">
        <f>IF(OR(ISBLANK(F12),ISNUMBER(FIND("Object",M12))),G12,
IF(OR(AND(ISBLANK(M12),D12&lt;&gt;"null"),ISNUMBER(FIND("Date",M12))),
_xlfn.CONCAT($J$1,C12,G12,$J$1,": ",,$J$1,D12,$J$1,IF(LEFT(E13,1)="}","",",")),
_xlfn.CONCAT($J$1,C12,G12,$J$1,": ",,,D12,,IF(LEFT(E13,1)="}","",","))))</f>
        <v>"titlePre": "Dr.",</v>
      </c>
      <c r="F12" s="4" t="s">
        <v>87</v>
      </c>
      <c r="G12" s="14" t="s">
        <v>101</v>
      </c>
      <c r="H12" s="14" t="s">
        <v>102</v>
      </c>
      <c r="I12" s="14"/>
      <c r="J12" s="14" t="s">
        <v>80</v>
      </c>
      <c r="K12" s="14">
        <v>40</v>
      </c>
      <c r="L12" s="4" t="s">
        <v>90</v>
      </c>
      <c r="N12" s="33" t="s">
        <v>91</v>
      </c>
      <c r="O12" s="37" t="s">
        <v>103</v>
      </c>
      <c r="P12" s="62"/>
    </row>
    <row r="13" spans="1:16">
      <c r="A13" s="35">
        <v>11</v>
      </c>
      <c r="B13" s="16" t="s">
        <v>99</v>
      </c>
      <c r="C13" s="16"/>
      <c r="D13" s="16" t="s">
        <v>104</v>
      </c>
      <c r="E13" s="19" t="str">
        <f>IF(OR(ISBLANK(F13),ISNUMBER(FIND("Object",M13))),G13,
IF(OR(AND(ISBLANK(M13),D13&lt;&gt;"null"),ISNUMBER(FIND("Date",M13))),
_xlfn.CONCAT($J$1,C13,G13,$J$1,": ",,$J$1,D13,$J$1,IF(LEFT(E14,1)="}","",",")),
_xlfn.CONCAT($J$1,C13,G13,$J$1,": ",,,D13,,IF(LEFT(E14,1)="}","",","))))</f>
        <v>"titlePost": "BA",</v>
      </c>
      <c r="F13" s="4" t="s">
        <v>87</v>
      </c>
      <c r="G13" s="14" t="s">
        <v>105</v>
      </c>
      <c r="H13" s="14" t="s">
        <v>255</v>
      </c>
      <c r="I13" s="14"/>
      <c r="J13" s="14" t="s">
        <v>80</v>
      </c>
      <c r="K13" s="14">
        <v>40</v>
      </c>
      <c r="L13" s="4" t="s">
        <v>90</v>
      </c>
      <c r="N13" s="33" t="s">
        <v>91</v>
      </c>
      <c r="O13" s="37" t="s">
        <v>108</v>
      </c>
      <c r="P13" s="62"/>
    </row>
    <row r="14" spans="1:16">
      <c r="A14" s="35">
        <v>12</v>
      </c>
      <c r="B14" s="16" t="s">
        <v>99</v>
      </c>
      <c r="C14" s="16"/>
      <c r="D14" s="16" t="s">
        <v>109</v>
      </c>
      <c r="E14" s="19" t="str">
        <f>IF(OR(ISBLANK(F14),ISNUMBER(FIND("Object",M14))),G14,
IF(OR(AND(ISBLANK(M14),D14&lt;&gt;"null"),ISNUMBER(FIND("Date",M14))),
_xlfn.CONCAT($J$1,C14,G14,$J$1,": ",,$J$1,D14,$J$1,IF(LEFT(E15,1)="}","",",")),
_xlfn.CONCAT($J$1,C14,G14,$J$1,": ",,,D14,,IF(LEFT(E15,1)="}","",","))))</f>
        <v>"firstName": "Peter",</v>
      </c>
      <c r="F14" s="4" t="s">
        <v>87</v>
      </c>
      <c r="G14" s="14" t="s">
        <v>110</v>
      </c>
      <c r="H14" s="14" t="s">
        <v>256</v>
      </c>
      <c r="I14" s="14" t="s">
        <v>111</v>
      </c>
      <c r="J14" s="14" t="s">
        <v>80</v>
      </c>
      <c r="K14" s="14">
        <v>40</v>
      </c>
      <c r="N14" t="s">
        <v>112</v>
      </c>
      <c r="O14" t="s">
        <v>113</v>
      </c>
    </row>
    <row r="15" spans="1:16">
      <c r="A15" s="35">
        <v>13</v>
      </c>
      <c r="B15" s="16" t="s">
        <v>99</v>
      </c>
      <c r="C15" s="16"/>
      <c r="D15" s="16" t="s">
        <v>114</v>
      </c>
      <c r="E15" s="19" t="str">
        <f>IF(OR(ISBLANK(F15),ISNUMBER(FIND("Object",M15))),G15,
IF(OR(AND(ISBLANK(M15),D15&lt;&gt;"null"),ISNUMBER(FIND("Date",M15))),
_xlfn.CONCAT($J$1,C15,G15,$J$1,": ",,$J$1,D15,$J$1,IF(LEFT(E16,1)="}","",",")),
_xlfn.CONCAT($J$1,C15,G15,$J$1,": ",,,D15,,IF(LEFT(E16,1)="}","",","))))</f>
        <v>"lastName": "Tosh",</v>
      </c>
      <c r="F15" s="4" t="s">
        <v>87</v>
      </c>
      <c r="G15" s="14" t="s">
        <v>115</v>
      </c>
      <c r="H15" s="14" t="s">
        <v>116</v>
      </c>
      <c r="I15" s="14" t="s">
        <v>117</v>
      </c>
      <c r="J15" s="14" t="s">
        <v>80</v>
      </c>
      <c r="K15" s="14">
        <v>40</v>
      </c>
      <c r="N15" t="s">
        <v>112</v>
      </c>
      <c r="O15" t="s">
        <v>118</v>
      </c>
    </row>
    <row r="16" spans="1:16">
      <c r="A16" s="35">
        <v>14</v>
      </c>
      <c r="B16" s="16" t="s">
        <v>119</v>
      </c>
      <c r="C16" s="16"/>
      <c r="D16" s="16" t="s">
        <v>120</v>
      </c>
      <c r="E16" s="19" t="str">
        <f>IF(OR(ISBLANK(F16),ISNUMBER(FIND("Object",M16))),G16,
IF(OR(AND(ISBLANK(M16),D16&lt;&gt;"null"),ISNUMBER(FIND("Date",M16))),
_xlfn.CONCAT($J$1,C16,G16,$J$1,": ",,$J$1,D16,$J$1,IF(LEFT(E17,1)="}","",",")),
_xlfn.CONCAT($J$1,C16,G16,$J$1,": ",,,D16,,IF(LEFT(E17,1)="}","",","))))</f>
        <v>"organisationName1": "Peters",</v>
      </c>
      <c r="F16" s="4" t="s">
        <v>87</v>
      </c>
      <c r="G16" s="14" t="s">
        <v>121</v>
      </c>
      <c r="H16" s="14" t="s">
        <v>122</v>
      </c>
      <c r="I16" s="14" t="s">
        <v>123</v>
      </c>
      <c r="J16" s="14" t="s">
        <v>80</v>
      </c>
      <c r="K16" s="14">
        <v>40</v>
      </c>
      <c r="N16" t="s">
        <v>112</v>
      </c>
      <c r="O16" t="s">
        <v>124</v>
      </c>
    </row>
    <row r="17" spans="1:16">
      <c r="A17" s="35">
        <v>15</v>
      </c>
      <c r="B17" s="16" t="s">
        <v>119</v>
      </c>
      <c r="C17" s="16"/>
      <c r="D17" s="16" t="s">
        <v>125</v>
      </c>
      <c r="E17" s="19" t="str">
        <f>IF(OR(ISBLANK(F17),ISNUMBER(FIND("Object",M17))),G17,
IF(OR(AND(ISBLANK(M17),D17&lt;&gt;"null"),ISNUMBER(FIND("Date",M17))),
_xlfn.CONCAT($J$1,C17,G17,$J$1,": ",,$J$1,D17,$J$1,IF(LEFT(E18,1)="}","",",")),
_xlfn.CONCAT($J$1,C17,G17,$J$1,": ",,,D17,,IF(LEFT(E18,1)="}","",","))))</f>
        <v>"organisationName2": "Brunnenbau",</v>
      </c>
      <c r="F17" s="4" t="s">
        <v>87</v>
      </c>
      <c r="G17" s="14" t="s">
        <v>126</v>
      </c>
      <c r="H17" s="14" t="s">
        <v>127</v>
      </c>
      <c r="I17" s="14"/>
      <c r="J17" s="14" t="s">
        <v>80</v>
      </c>
      <c r="K17" s="14">
        <v>40</v>
      </c>
      <c r="N17" t="s">
        <v>112</v>
      </c>
      <c r="O17" s="37" t="s">
        <v>128</v>
      </c>
    </row>
    <row r="18" spans="1:16">
      <c r="A18" s="35">
        <v>16</v>
      </c>
      <c r="B18" s="16" t="s">
        <v>119</v>
      </c>
      <c r="C18" s="16"/>
      <c r="D18" s="16" t="s">
        <v>129</v>
      </c>
      <c r="E18" s="19" t="str">
        <f>IF(OR(ISBLANK(F18),ISNUMBER(FIND("Object",M18))),G18,
IF(OR(AND(ISBLANK(M18),D18&lt;&gt;"null"),ISNUMBER(FIND("Date",M18))),
_xlfn.CONCAT($J$1,C18,G18,$J$1,": ",,$J$1,D18,$J$1,IF(LEFT(E19,1)="}","",",")),
_xlfn.CONCAT($J$1,C18,G18,$J$1,": ",,,D18,,IF(LEFT(E19,1)="}","",","))))</f>
        <v>"organisationName3": "Gesellschaft ohne",</v>
      </c>
      <c r="F18" s="4" t="s">
        <v>87</v>
      </c>
      <c r="G18" s="14" t="s">
        <v>130</v>
      </c>
      <c r="H18" s="14" t="s">
        <v>131</v>
      </c>
      <c r="I18" s="14"/>
      <c r="J18" s="14" t="s">
        <v>80</v>
      </c>
      <c r="K18" s="14">
        <v>40</v>
      </c>
      <c r="N18" t="s">
        <v>112</v>
      </c>
      <c r="O18" s="37" t="s">
        <v>132</v>
      </c>
    </row>
    <row r="19" spans="1:16">
      <c r="A19" s="35">
        <v>17</v>
      </c>
      <c r="B19" s="16" t="s">
        <v>119</v>
      </c>
      <c r="C19" s="16"/>
      <c r="D19" s="16" t="s">
        <v>133</v>
      </c>
      <c r="E19" s="19" t="str">
        <f>IF(OR(ISBLANK(F19),ISNUMBER(FIND("Object",M19))),G19,
IF(OR(AND(ISBLANK(M19),D19&lt;&gt;"null"),ISNUMBER(FIND("Date",M19))),
_xlfn.CONCAT($J$1,C19,G19,$J$1,": ",,$J$1,D19,$J$1,IF(LEFT(E20,1)="}","",",")),
_xlfn.CONCAT($J$1,C19,G19,$J$1,": ",,,D19,,IF(LEFT(E20,1)="}","",","))))</f>
        <v>"organisationName4": "Schaufel"</v>
      </c>
      <c r="F19" s="4" t="s">
        <v>87</v>
      </c>
      <c r="G19" s="14" t="s">
        <v>134</v>
      </c>
      <c r="H19" s="14" t="s">
        <v>135</v>
      </c>
      <c r="I19" s="14"/>
      <c r="J19" s="14" t="s">
        <v>80</v>
      </c>
      <c r="K19" s="14">
        <v>40</v>
      </c>
      <c r="N19" t="s">
        <v>112</v>
      </c>
      <c r="O19" s="37" t="s">
        <v>136</v>
      </c>
    </row>
    <row r="20" spans="1:16">
      <c r="A20" s="35">
        <v>18</v>
      </c>
      <c r="B20" s="19"/>
      <c r="C20" s="19" t="str">
        <f t="shared" ref="C20:C44" si="2">IF(B20="person","p_",(IF(B20="organisation","o_",(IF(B20="person/organisation","po_","")))))</f>
        <v/>
      </c>
      <c r="D20" s="19"/>
      <c r="E20" s="19" t="str">
        <f>IF(OR(ISBLANK(F20),ISNUMBER(FIND("Object",M20))),G20,
IF(OR(AND(ISBLANK(M20),D20&lt;&gt;"null"),ISNUMBER(FIND("Date",M20))),
_xlfn.CONCAT($J$1,C20,G20,$J$1,": ",,$J$1,D20,$J$1,IF(LEFT(E21,1)="}","",",")),
_xlfn.CONCAT($J$1,C20,G20,$J$1,": ",,,D20,,IF(LEFT(E21,1)="}","",","))))</f>
        <v>},</v>
      </c>
      <c r="F20" s="22"/>
      <c r="G20" s="26" t="s">
        <v>93</v>
      </c>
      <c r="H20" s="24"/>
      <c r="I20" s="24"/>
      <c r="J20" s="24"/>
      <c r="K20" s="24"/>
      <c r="L20" s="22"/>
      <c r="M20" s="25"/>
      <c r="N20" s="25"/>
      <c r="O20" s="25"/>
      <c r="P20" s="25"/>
    </row>
    <row r="21" spans="1:16">
      <c r="A21" s="35">
        <v>19</v>
      </c>
      <c r="B21" s="26"/>
      <c r="C21" s="19" t="str">
        <f t="shared" si="2"/>
        <v/>
      </c>
      <c r="D21" s="19"/>
      <c r="E21" s="19" t="str">
        <f>IF(OR(ISBLANK(F21),ISNUMBER(FIND("Object",M21))),G21,
IF(OR(AND(ISBLANK(M21),D21&lt;&gt;"null"),ISNUMBER(FIND("Date",M21))),
_xlfn.CONCAT($J$1,C21,G21,$J$1,": ",,$J$1,D21,$J$1,IF(LEFT(E22,1)="}","",",")),
_xlfn.CONCAT($J$1,C21,G21,$J$1,": ",,,D21,,IF(LEFT(E22,1)="}","",","))))</f>
        <v>"Address": {</v>
      </c>
      <c r="F21" s="22"/>
      <c r="G21" s="26" t="s">
        <v>137</v>
      </c>
      <c r="H21" s="24"/>
      <c r="I21" s="24"/>
      <c r="J21" s="24"/>
      <c r="K21" s="24"/>
      <c r="L21" s="22"/>
      <c r="M21" s="25"/>
      <c r="N21" s="25"/>
      <c r="O21" s="25"/>
      <c r="P21" s="25"/>
    </row>
    <row r="22" spans="1:16">
      <c r="A22" s="35">
        <v>20</v>
      </c>
      <c r="B22" s="16" t="s">
        <v>75</v>
      </c>
      <c r="C22" s="16"/>
      <c r="D22" s="86" t="s">
        <v>257</v>
      </c>
      <c r="E22" s="19" t="str">
        <f>IF(OR(ISBLANK(F22),ISNUMBER(FIND("Object",M22))),G22,
IF(OR(AND(ISBLANK(M22),D22&lt;&gt;"null"),ISNUMBER(FIND("Date",M22))),
_xlfn.CONCAT($J$1,C22,G22,$J$1,": ",,$J$1,D22,$J$1,IF(LEFT(E23,1)="}","",",")),
_xlfn.CONCAT($J$1,C22,G22,$J$1,": ",,,D22,,IF(LEFT(E23,1)="}","",","))))</f>
        <v>"addressId": "0005",</v>
      </c>
      <c r="F22" s="4" t="s">
        <v>87</v>
      </c>
      <c r="G22" s="105" t="s">
        <v>258</v>
      </c>
      <c r="H22" s="14" t="s">
        <v>259</v>
      </c>
      <c r="I22" s="14" t="s">
        <v>260</v>
      </c>
      <c r="J22" s="14" t="s">
        <v>80</v>
      </c>
      <c r="K22" s="14">
        <v>60</v>
      </c>
      <c r="N22" t="s">
        <v>112</v>
      </c>
      <c r="O22" t="s">
        <v>261</v>
      </c>
    </row>
    <row r="23" spans="1:16">
      <c r="A23" s="35">
        <v>21</v>
      </c>
      <c r="B23" s="16" t="s">
        <v>75</v>
      </c>
      <c r="C23" s="16"/>
      <c r="D23" s="86" t="s">
        <v>262</v>
      </c>
      <c r="E23" s="19" t="str">
        <f>IF(OR(ISBLANK(F23),ISNUMBER(FIND("Object",M23))),G23,
IF(OR(AND(ISBLANK(M23),D23&lt;&gt;"null"),ISNUMBER(FIND("Date",M23))),
_xlfn.CONCAT($J$1,C23,G23,$J$1,": ",,$J$1,D23,$J$1,IF(LEFT(E24,1)="}","",",")),
_xlfn.CONCAT($J$1,C23,G23,$J$1,": ",,,D23,,IF(LEFT(E24,1)="}","",","))))</f>
        <v>"street": "Langestrasse",</v>
      </c>
      <c r="F23" s="4" t="s">
        <v>87</v>
      </c>
      <c r="G23" s="14" t="s">
        <v>139</v>
      </c>
      <c r="H23" s="14" t="s">
        <v>140</v>
      </c>
      <c r="I23" s="14" t="s">
        <v>141</v>
      </c>
      <c r="J23" s="14" t="s">
        <v>80</v>
      </c>
      <c r="K23" s="14">
        <v>35</v>
      </c>
      <c r="L23" s="1"/>
      <c r="N23" t="s">
        <v>112</v>
      </c>
      <c r="O23" t="s">
        <v>142</v>
      </c>
    </row>
    <row r="24" spans="1:16">
      <c r="A24" s="35">
        <v>22</v>
      </c>
      <c r="B24" s="16" t="s">
        <v>75</v>
      </c>
      <c r="C24" s="16"/>
      <c r="D24" s="86" t="s">
        <v>263</v>
      </c>
      <c r="E24" s="19" t="str">
        <f>IF(OR(ISBLANK(F24),ISNUMBER(FIND("Object",M24))),G24,
IF(OR(AND(ISBLANK(M24),D24&lt;&gt;"null"),ISNUMBER(FIND("Date",M24))),
_xlfn.CONCAT($J$1,C24,G24,$J$1,": ",,$J$1,D24,$J$1,IF(LEFT(E25,1)="}","",",")),
_xlfn.CONCAT($J$1,C24,G24,$J$1,": ",,,D24,,IF(LEFT(E25,1)="}","",","))))</f>
        <v>"houseNumber": "1",</v>
      </c>
      <c r="F24" s="4" t="s">
        <v>87</v>
      </c>
      <c r="G24" s="14" t="s">
        <v>143</v>
      </c>
      <c r="H24" s="14" t="s">
        <v>144</v>
      </c>
      <c r="I24" s="14" t="s">
        <v>145</v>
      </c>
      <c r="J24" s="14" t="s">
        <v>80</v>
      </c>
      <c r="K24" s="14">
        <v>10</v>
      </c>
      <c r="L24" s="1"/>
      <c r="N24" t="s">
        <v>112</v>
      </c>
      <c r="O24" t="s">
        <v>146</v>
      </c>
    </row>
    <row r="25" spans="1:16">
      <c r="A25" s="35">
        <v>23</v>
      </c>
      <c r="B25" s="16" t="s">
        <v>75</v>
      </c>
      <c r="C25" s="16"/>
      <c r="D25" s="86" t="s">
        <v>264</v>
      </c>
      <c r="E25" s="19" t="str">
        <f>IF(OR(ISBLANK(F25),ISNUMBER(FIND("Object",M25))),G25,
IF(OR(AND(ISBLANK(M25),D25&lt;&gt;"null"),ISNUMBER(FIND("Date",M25))),
_xlfn.CONCAT($J$1,C25,G25,$J$1,": ",,$J$1,D25,$J$1,IF(LEFT(E26,1)="}","",",")),
_xlfn.CONCAT($J$1,C25,G25,$J$1,": ",,,D25,,IF(LEFT(E26,1)="}","",","))))</f>
        <v>"houseNumberSupplement": "a",</v>
      </c>
      <c r="F25" s="4" t="s">
        <v>87</v>
      </c>
      <c r="G25" s="14" t="s">
        <v>148</v>
      </c>
      <c r="H25" s="14" t="s">
        <v>149</v>
      </c>
      <c r="I25" s="14"/>
      <c r="J25" s="14" t="s">
        <v>80</v>
      </c>
      <c r="K25" s="14">
        <v>10</v>
      </c>
      <c r="L25" s="1"/>
      <c r="N25" t="s">
        <v>112</v>
      </c>
      <c r="O25" t="s">
        <v>150</v>
      </c>
    </row>
    <row r="26" spans="1:16">
      <c r="A26" s="35">
        <v>24</v>
      </c>
      <c r="B26" s="16" t="s">
        <v>75</v>
      </c>
      <c r="C26" s="16"/>
      <c r="D26" s="86" t="s">
        <v>265</v>
      </c>
      <c r="E26" s="19" t="str">
        <f>IF(OR(ISBLANK(F26),ISNUMBER(FIND("Object",M26))),G26,
IF(OR(AND(ISBLANK(M26),D26&lt;&gt;"null"),ISNUMBER(FIND("Date",M26))),
_xlfn.CONCAT($J$1,C26,G26,$J$1,": ",,$J$1,D26,$J$1,IF(LEFT(E27,1)="}","",",")),
_xlfn.CONCAT($J$1,C26,G26,$J$1,": ",,,D26,,IF(LEFT(E27,1)="}","",","))))</f>
        <v>"postalCode": "83435",</v>
      </c>
      <c r="F26" s="4" t="s">
        <v>87</v>
      </c>
      <c r="G26" s="14" t="s">
        <v>151</v>
      </c>
      <c r="H26" s="14" t="s">
        <v>152</v>
      </c>
      <c r="I26" s="14" t="s">
        <v>153</v>
      </c>
      <c r="J26" s="14" t="s">
        <v>80</v>
      </c>
      <c r="K26" s="14">
        <v>10</v>
      </c>
      <c r="L26" s="1"/>
      <c r="N26" t="s">
        <v>112</v>
      </c>
      <c r="O26" t="s">
        <v>154</v>
      </c>
    </row>
    <row r="27" spans="1:16">
      <c r="A27" s="35">
        <v>25</v>
      </c>
      <c r="B27" s="16" t="s">
        <v>75</v>
      </c>
      <c r="C27" s="16"/>
      <c r="D27" s="86" t="s">
        <v>266</v>
      </c>
      <c r="E27" s="19" t="str">
        <f>IF(OR(ISBLANK(F27),ISNUMBER(FIND("Object",M27))),G27,
IF(OR(AND(ISBLANK(M27),D27&lt;&gt;"null"),ISNUMBER(FIND("Date",M27))),
_xlfn.CONCAT($J$1,C27,G27,$J$1,": ",,$J$1,D27,$J$1,IF(LEFT(E28,1)="}","",",")),
_xlfn.CONCAT($J$1,C27,G27,$J$1,": ",,,D27,,IF(LEFT(E28,1)="}","",","))))</f>
        <v>"city": "Bad Reichenhall",</v>
      </c>
      <c r="F27" s="4" t="s">
        <v>87</v>
      </c>
      <c r="G27" s="14" t="s">
        <v>156</v>
      </c>
      <c r="H27" s="14" t="s">
        <v>157</v>
      </c>
      <c r="I27" s="14" t="s">
        <v>158</v>
      </c>
      <c r="J27" s="14" t="s">
        <v>80</v>
      </c>
      <c r="K27" s="14">
        <v>35</v>
      </c>
      <c r="L27" s="1"/>
      <c r="N27" t="s">
        <v>112</v>
      </c>
      <c r="O27" t="s">
        <v>267</v>
      </c>
    </row>
    <row r="28" spans="1:16">
      <c r="A28" s="35">
        <v>26</v>
      </c>
      <c r="B28" s="16" t="s">
        <v>75</v>
      </c>
      <c r="C28" s="16"/>
      <c r="D28" s="86" t="s">
        <v>268</v>
      </c>
      <c r="E28" s="19" t="str">
        <f>IF(OR(ISBLANK(F28),ISNUMBER(FIND("Object",M28))),G28,
IF(OR(AND(ISBLANK(M28),D28&lt;&gt;"null"),ISNUMBER(FIND("Date",M28))),
_xlfn.CONCAT($J$1,C28,G28,$J$1,": ",,$J$1,D28,$J$1,IF(LEFT(E29,1)="}","",",")),
_xlfn.CONCAT($J$1,C28,G28,$J$1,": ",,,D28,,IF(LEFT(E29,1)="}","",","))))</f>
        <v>"district": "Nonn",</v>
      </c>
      <c r="F28" s="4" t="s">
        <v>87</v>
      </c>
      <c r="G28" s="14" t="s">
        <v>161</v>
      </c>
      <c r="H28" s="14" t="s">
        <v>162</v>
      </c>
      <c r="I28" s="14"/>
      <c r="J28" s="14" t="s">
        <v>80</v>
      </c>
      <c r="K28" s="14">
        <v>40</v>
      </c>
      <c r="L28" s="1"/>
      <c r="N28" t="s">
        <v>112</v>
      </c>
      <c r="O28" t="s">
        <v>159</v>
      </c>
    </row>
    <row r="29" spans="1:16">
      <c r="A29" s="35">
        <v>27</v>
      </c>
      <c r="B29" s="16" t="s">
        <v>75</v>
      </c>
      <c r="C29" s="16"/>
      <c r="D29" s="86" t="s">
        <v>269</v>
      </c>
      <c r="E29" s="19" t="str">
        <f>IF(OR(ISBLANK(F29),ISNUMBER(FIND("Object",M29))),G29,
IF(OR(AND(ISBLANK(M29),D29&lt;&gt;"null"),ISNUMBER(FIND("Date",M29))),
_xlfn.CONCAT($J$1,C29,G29,$J$1,": ",,$J$1,D29,$J$1,IF(LEFT(E30,1)="}","",",")),
_xlfn.CONCAT($J$1,C29,G29,$J$1,": ",,,D29,,IF(LEFT(E30,1)="}","",","))))</f>
        <v>"region": "Bayern",</v>
      </c>
      <c r="F29" s="4" t="s">
        <v>87</v>
      </c>
      <c r="G29" s="105" t="s">
        <v>270</v>
      </c>
      <c r="H29" s="14" t="s">
        <v>166</v>
      </c>
      <c r="I29" s="14"/>
      <c r="J29" s="14" t="s">
        <v>80</v>
      </c>
      <c r="K29" s="14">
        <v>3</v>
      </c>
      <c r="L29" s="32" t="s">
        <v>90</v>
      </c>
      <c r="M29" s="33"/>
      <c r="N29" s="33" t="s">
        <v>91</v>
      </c>
      <c r="O29" t="s">
        <v>271</v>
      </c>
    </row>
    <row r="30" spans="1:16">
      <c r="A30" s="35">
        <v>28</v>
      </c>
      <c r="B30" s="16" t="s">
        <v>75</v>
      </c>
      <c r="C30" s="16"/>
      <c r="D30" s="86" t="s">
        <v>172</v>
      </c>
      <c r="E30" s="19" t="str">
        <f>IF(OR(ISBLANK(F30),ISNUMBER(FIND("Object",M30))),G30,
IF(OR(AND(ISBLANK(M30),D30&lt;&gt;"null"),ISNUMBER(FIND("Date",M30))),
_xlfn.CONCAT($J$1,C30,G30,$J$1,": ",,$J$1,D30,$J$1,IF(LEFT(E31,1)="}","",",")),
_xlfn.CONCAT($J$1,C30,G30,$J$1,": ",,,D30,,IF(LEFT(E31,1)="}","",","))))</f>
        <v>"country": "AT",</v>
      </c>
      <c r="F30" s="4" t="s">
        <v>87</v>
      </c>
      <c r="G30" s="14" t="s">
        <v>173</v>
      </c>
      <c r="H30" s="14" t="s">
        <v>174</v>
      </c>
      <c r="I30" s="14" t="s">
        <v>175</v>
      </c>
      <c r="J30" s="14" t="s">
        <v>80</v>
      </c>
      <c r="K30" s="14">
        <v>3</v>
      </c>
      <c r="L30" s="4" t="s">
        <v>90</v>
      </c>
      <c r="M30" s="33"/>
      <c r="N30" s="33" t="s">
        <v>91</v>
      </c>
      <c r="O30" t="s">
        <v>176</v>
      </c>
    </row>
    <row r="31" spans="1:16">
      <c r="A31" s="35">
        <v>29</v>
      </c>
      <c r="B31" s="16" t="s">
        <v>75</v>
      </c>
      <c r="C31" s="16"/>
      <c r="D31" s="86" t="s">
        <v>177</v>
      </c>
      <c r="E31" s="19" t="str">
        <f>IF(OR(ISBLANK(F31),ISNUMBER(FIND("Object",M31))),G31,
IF(OR(AND(ISBLANK(M31),D31&lt;&gt;"null"),ISNUMBER(FIND("Date",M31))),
_xlfn.CONCAT($J$1,C31,G31,$J$1,": ",,$J$1,D31,$J$1,IF(LEFT(E32,1)="}","",",")),
_xlfn.CONCAT($J$1,C31,G31,$J$1,": ",,,D31,,IF(LEFT(E32,1)="}","",","))))</f>
        <v>"addressUsage": "XXDEFAULT"</v>
      </c>
      <c r="F31" s="4" t="s">
        <v>87</v>
      </c>
      <c r="G31" s="14" t="s">
        <v>178</v>
      </c>
      <c r="H31" s="14" t="s">
        <v>179</v>
      </c>
      <c r="I31" s="14"/>
      <c r="J31" s="14" t="s">
        <v>80</v>
      </c>
      <c r="L31" s="1"/>
      <c r="N31" t="s">
        <v>180</v>
      </c>
    </row>
    <row r="32" spans="1:16" s="25" customFormat="1">
      <c r="A32" s="35">
        <v>30</v>
      </c>
      <c r="B32" s="16" t="s">
        <v>75</v>
      </c>
      <c r="C32" s="19"/>
      <c r="D32" s="19"/>
      <c r="E32" s="19" t="str">
        <f t="shared" ref="E32:E38" si="3">IF(OR(ISBLANK(F32),ISNUMBER(FIND("Object",M32))),G32,
IF(OR(AND(ISBLANK(M32),D32&lt;&gt;"null"),ISNUMBER(FIND("Date",M32))),
_xlfn.CONCAT($J$1,C32,G32,$J$1,": ",,$J$1,D32,$J$1,IF(LEFT(E33,1)="}","",",")),
_xlfn.CONCAT($J$1,C32,G32,$J$1,": ",,,D32,,IF(LEFT(E33,1)="}","",","))))</f>
        <v>},</v>
      </c>
      <c r="F32" s="22"/>
      <c r="G32" s="19" t="s">
        <v>93</v>
      </c>
      <c r="H32" s="19"/>
      <c r="I32" s="19"/>
      <c r="J32" s="19"/>
      <c r="K32" s="19"/>
      <c r="L32" s="22"/>
      <c r="M32" s="19"/>
      <c r="N32" s="19"/>
      <c r="O32" s="19"/>
      <c r="P32" s="19"/>
    </row>
    <row r="33" spans="1:16" s="111" customFormat="1">
      <c r="A33" s="35">
        <v>31</v>
      </c>
      <c r="B33" s="109"/>
      <c r="C33" s="109"/>
      <c r="D33" s="109"/>
      <c r="E33" s="109" t="str">
        <f t="shared" si="3"/>
        <v>"Communication": {</v>
      </c>
      <c r="F33" s="110"/>
      <c r="G33" s="109" t="s">
        <v>239</v>
      </c>
      <c r="H33" s="109"/>
      <c r="I33" s="109"/>
      <c r="J33" s="109"/>
      <c r="K33" s="109"/>
      <c r="L33" s="110"/>
      <c r="M33" s="109"/>
      <c r="N33" s="109"/>
      <c r="O33" s="109"/>
      <c r="P33" s="109"/>
    </row>
    <row r="34" spans="1:16" s="111" customFormat="1">
      <c r="A34" s="35">
        <v>32</v>
      </c>
      <c r="B34" s="109" t="s">
        <v>75</v>
      </c>
      <c r="C34" s="109"/>
      <c r="D34" s="112" t="s">
        <v>240</v>
      </c>
      <c r="E34" s="109" t="str">
        <f t="shared" si="3"/>
        <v>"email": "max@mustermann.at",</v>
      </c>
      <c r="F34" s="110" t="s">
        <v>87</v>
      </c>
      <c r="G34" s="109" t="s">
        <v>241</v>
      </c>
      <c r="H34" s="109"/>
      <c r="I34" s="109"/>
      <c r="J34" s="109"/>
      <c r="K34" s="109"/>
      <c r="L34" s="110"/>
      <c r="M34" s="109"/>
      <c r="N34" s="109"/>
      <c r="O34" s="109" t="s">
        <v>272</v>
      </c>
      <c r="P34" s="109"/>
    </row>
    <row r="35" spans="1:16" s="111" customFormat="1">
      <c r="A35" s="35">
        <v>33</v>
      </c>
      <c r="B35" s="109" t="s">
        <v>75</v>
      </c>
      <c r="C35" s="109"/>
      <c r="D35" s="113" t="s">
        <v>273</v>
      </c>
      <c r="E35" s="109" t="str">
        <f>IF(OR(ISBLANK(F35),ISNUMBER(FIND("Object",M35))),G35,
IF(OR(AND(ISBLANK(M35),D35&lt;&gt;"null"),ISNUMBER(FIND("Date",M35))),
_xlfn.CONCAT($J$1,C35,G35,$J$1,": ",,$J$1,D35,$J$1,IF(LEFT(E37,1)="}","",",")),
_xlfn.CONCAT($J$1,C35,G35,$J$1,": ",,,D35,,IF(LEFT(E37,1)="}","",","))))</f>
        <v>"phoneNumber": "+43676333222"</v>
      </c>
      <c r="F35" s="110" t="s">
        <v>87</v>
      </c>
      <c r="G35" s="109" t="s">
        <v>274</v>
      </c>
      <c r="H35" s="109"/>
      <c r="I35" s="109"/>
      <c r="J35" s="109"/>
      <c r="K35" s="109"/>
      <c r="L35" s="110"/>
      <c r="M35" s="109"/>
      <c r="N35" s="109"/>
      <c r="O35" s="109" t="s">
        <v>275</v>
      </c>
      <c r="P35" s="109"/>
    </row>
    <row r="36" spans="1:16" s="111" customFormat="1">
      <c r="A36" s="35">
        <v>34</v>
      </c>
      <c r="B36" s="109" t="s">
        <v>75</v>
      </c>
      <c r="C36" s="109"/>
      <c r="D36" s="113" t="s">
        <v>273</v>
      </c>
      <c r="E36" s="109" t="str">
        <f>IF(OR(ISBLANK(F36),ISNUMBER(FIND("Object",M36))),G36,
IF(OR(AND(ISBLANK(M36),D36&lt;&gt;"null"),ISNUMBER(FIND("Date",M36))),
_xlfn.CONCAT($J$1,C36,G36,$J$1,": ",,$J$1,D36,$J$1,IF(LEFT(E38,1)="}","",",")),
_xlfn.CONCAT($J$1,C36,G36,$J$1,": ",,,D36,,IF(LEFT(E38,1)="}","",","))))</f>
        <v>"mobileNumber": "+43676333222",</v>
      </c>
      <c r="F36" s="110" t="s">
        <v>87</v>
      </c>
      <c r="G36" s="109" t="s">
        <v>276</v>
      </c>
      <c r="H36" s="109"/>
      <c r="I36" s="109"/>
      <c r="J36" s="109"/>
      <c r="K36" s="109"/>
      <c r="L36" s="110"/>
      <c r="M36" s="109"/>
      <c r="N36" s="109"/>
      <c r="O36" s="109" t="s">
        <v>277</v>
      </c>
      <c r="P36" s="109"/>
    </row>
    <row r="37" spans="1:16" s="111" customFormat="1">
      <c r="A37" s="35">
        <v>35</v>
      </c>
      <c r="B37" s="109"/>
      <c r="C37" s="109"/>
      <c r="D37" s="113"/>
      <c r="E37" s="109" t="str">
        <f>IF(OR(ISBLANK(F37),ISNUMBER(FIND("Object",M37))),G37,
IF(OR(AND(ISBLANK(M37),D37&lt;&gt;"null"),ISNUMBER(FIND("Date",M37))),
_xlfn.CONCAT($J$1,C37,G37,$J$1,": ",,$J$1,D37,$J$1,IF(LEFT(E39,1)="}","",",")),
_xlfn.CONCAT($J$1,C37,G37,$J$1,": ",,,D37,,IF(LEFT(E39,1)="}","",","))))</f>
        <v>},</v>
      </c>
      <c r="F37" s="110"/>
      <c r="G37" s="109" t="s">
        <v>93</v>
      </c>
      <c r="H37" s="109"/>
      <c r="I37" s="109"/>
      <c r="J37" s="109"/>
      <c r="K37" s="109"/>
      <c r="L37" s="110"/>
      <c r="M37" s="109"/>
      <c r="N37" s="109"/>
      <c r="O37" s="109"/>
      <c r="P37" s="109"/>
    </row>
    <row r="38" spans="1:16" s="25" customFormat="1">
      <c r="A38" s="35">
        <v>36</v>
      </c>
      <c r="B38" s="16" t="s">
        <v>75</v>
      </c>
      <c r="C38" s="19"/>
      <c r="D38" s="19"/>
      <c r="E38" s="19" t="str">
        <f t="shared" si="3"/>
        <v>"PoBox": {</v>
      </c>
      <c r="F38" s="22"/>
      <c r="G38" s="26" t="s">
        <v>181</v>
      </c>
      <c r="H38" s="19"/>
      <c r="I38" s="19"/>
      <c r="J38" s="19"/>
      <c r="K38" s="19"/>
      <c r="L38" s="22"/>
      <c r="M38" s="19"/>
      <c r="N38" s="19"/>
      <c r="O38" s="19"/>
      <c r="P38" s="19"/>
    </row>
    <row r="39" spans="1:16">
      <c r="A39" s="35">
        <v>37</v>
      </c>
      <c r="B39" s="16" t="s">
        <v>75</v>
      </c>
      <c r="C39" s="16"/>
      <c r="D39" s="16" t="s">
        <v>155</v>
      </c>
      <c r="E39" s="19" t="str">
        <f>IF(OR(ISBLANK(F39),ISNUMBER(FIND("Object",M39))),G39,
IF(OR(AND(ISBLANK(M39),D39&lt;&gt;"null"),ISNUMBER(FIND("Date",M39))),
_xlfn.CONCAT($J$1,C39,G39,$J$1,": ",,$J$1,D39,$J$1,IF(LEFT(E40,1)="}","",",")),
_xlfn.CONCAT($J$1,C39,G39,$J$1,": ",,,D39,,IF(LEFT(E40,1)="}","",","))))</f>
        <v>"poBoxPostalCity": "Kingstown",</v>
      </c>
      <c r="F39" s="4" t="s">
        <v>87</v>
      </c>
      <c r="G39" s="16" t="s">
        <v>182</v>
      </c>
      <c r="H39" s="16" t="s">
        <v>183</v>
      </c>
      <c r="I39" s="16"/>
      <c r="J39" s="16" t="s">
        <v>80</v>
      </c>
      <c r="K39" s="16">
        <v>40</v>
      </c>
      <c r="M39" s="16"/>
      <c r="N39" s="107" t="s">
        <v>278</v>
      </c>
      <c r="O39" s="16" t="s">
        <v>184</v>
      </c>
      <c r="P39" s="16" t="s">
        <v>279</v>
      </c>
    </row>
    <row r="40" spans="1:16">
      <c r="A40" s="35">
        <v>38</v>
      </c>
      <c r="B40" s="16" t="s">
        <v>75</v>
      </c>
      <c r="C40" s="16"/>
      <c r="D40" s="16">
        <v>123456</v>
      </c>
      <c r="E40" s="19" t="str">
        <f>IF(OR(ISBLANK(F40),ISNUMBER(FIND("Object",M40))),G40,
IF(OR(AND(ISBLANK(M40),D40&lt;&gt;"null"),ISNUMBER(FIND("Date",M40))),
_xlfn.CONCAT($J$1,C40,G40,$J$1,": ",,$J$1,D40,$J$1,IF(LEFT(E41,1)="}","",",")),
_xlfn.CONCAT($J$1,C40,G40,$J$1,": ",,,D40,,IF(LEFT(E41,1)="}","",","))))</f>
        <v>"poBoxPostalCode": "123456",</v>
      </c>
      <c r="F40" s="4" t="s">
        <v>87</v>
      </c>
      <c r="G40" s="16" t="s">
        <v>185</v>
      </c>
      <c r="H40" s="16" t="s">
        <v>186</v>
      </c>
      <c r="I40" s="16"/>
      <c r="J40" s="16" t="s">
        <v>80</v>
      </c>
      <c r="K40" s="16">
        <v>10</v>
      </c>
      <c r="M40" s="16"/>
      <c r="N40" s="16" t="s">
        <v>112</v>
      </c>
      <c r="O40" s="16" t="s">
        <v>187</v>
      </c>
      <c r="P40" s="16"/>
    </row>
    <row r="41" spans="1:16">
      <c r="A41" s="35">
        <v>39</v>
      </c>
      <c r="B41" s="16" t="s">
        <v>75</v>
      </c>
      <c r="C41" s="16"/>
      <c r="D41" s="16" t="s">
        <v>188</v>
      </c>
      <c r="E41" s="19" t="str">
        <f>IF(OR(ISBLANK(F41),ISNUMBER(FIND("Object",M41))),G41,
IF(OR(AND(ISBLANK(M41),D41&lt;&gt;"null"),ISNUMBER(FIND("Date",M41))),
_xlfn.CONCAT($J$1,C41,G41,$J$1,": ",,$J$1,D41,$J$1,IF(LEFT(E42,1)="}","",",")),
_xlfn.CONCAT($J$1,C41,G41,$J$1,": ",,,D41,,IF(LEFT(E42,1)="}","",","))))</f>
        <v>"poBox": "PO Box 73a",</v>
      </c>
      <c r="F41" s="4" t="s">
        <v>87</v>
      </c>
      <c r="G41" s="16" t="s">
        <v>189</v>
      </c>
      <c r="H41" s="16" t="s">
        <v>190</v>
      </c>
      <c r="I41" s="16"/>
      <c r="J41" s="16" t="s">
        <v>80</v>
      </c>
      <c r="K41" s="16">
        <v>10</v>
      </c>
      <c r="M41" s="16"/>
      <c r="N41" s="16" t="s">
        <v>112</v>
      </c>
      <c r="O41" s="16" t="s">
        <v>191</v>
      </c>
      <c r="P41" s="16"/>
    </row>
    <row r="42" spans="1:16" ht="30.75">
      <c r="A42" s="35">
        <v>40</v>
      </c>
      <c r="B42" s="16" t="s">
        <v>75</v>
      </c>
      <c r="C42" s="16"/>
      <c r="D42" s="16" t="s">
        <v>172</v>
      </c>
      <c r="E42" s="19" t="str">
        <f>IF(OR(ISBLANK(F42),ISNUMBER(FIND("Object",M42))),G42,
IF(OR(AND(ISBLANK(M42),D42&lt;&gt;"null"),ISNUMBER(FIND("Date",M42))),
_xlfn.CONCAT($J$1,C42,G42,$J$1,": ",,$J$1,D42,$J$1,IF(LEFT(E43,1)="}","",",")),
_xlfn.CONCAT($J$1,C42,G42,$J$1,": ",,,D42,,IF(LEFT(E43,1)="}","",","))))</f>
        <v>"poBoxPostalCountry": "AT",</v>
      </c>
      <c r="F42" s="4" t="s">
        <v>87</v>
      </c>
      <c r="G42" s="16" t="s">
        <v>192</v>
      </c>
      <c r="H42" s="16" t="s">
        <v>193</v>
      </c>
      <c r="J42" s="16" t="s">
        <v>80</v>
      </c>
      <c r="K42" s="16">
        <v>3</v>
      </c>
      <c r="L42" s="4" t="s">
        <v>90</v>
      </c>
      <c r="M42" s="16"/>
      <c r="N42" s="108" t="s">
        <v>280</v>
      </c>
      <c r="O42" s="16" t="s">
        <v>194</v>
      </c>
      <c r="P42" s="16" t="s">
        <v>279</v>
      </c>
    </row>
    <row r="43" spans="1:16">
      <c r="A43" s="35">
        <v>41</v>
      </c>
      <c r="B43" s="16" t="s">
        <v>75</v>
      </c>
      <c r="C43" s="16"/>
      <c r="D43" s="16" t="s">
        <v>195</v>
      </c>
      <c r="E43" s="19" t="str">
        <f>IF(OR(ISBLANK(F43),ISNUMBER(FIND("Object",M43))),G43,
IF(OR(AND(ISBLANK(M43),D43&lt;&gt;"null"),ISNUMBER(FIND("Date",M43))),
_xlfn.CONCAT($J$1,C43,G43,$J$1,": ",,$J$1,D43,$J$1,IF(LEFT(E44,1)="}","",",")),
_xlfn.CONCAT($J$1,C43,G43,$J$1,": ",,,D43,,IF(LEFT(E44,1)="}","",","))))</f>
        <v>"poBoxPostalRegion": "KMA"</v>
      </c>
      <c r="F43" s="4" t="s">
        <v>87</v>
      </c>
      <c r="G43" s="16" t="s">
        <v>196</v>
      </c>
      <c r="H43" s="16" t="s">
        <v>197</v>
      </c>
      <c r="I43" s="16"/>
      <c r="J43" s="16" t="s">
        <v>80</v>
      </c>
      <c r="K43" s="16">
        <v>3</v>
      </c>
      <c r="L43" s="32" t="s">
        <v>90</v>
      </c>
      <c r="M43" s="16"/>
      <c r="N43" s="107" t="s">
        <v>278</v>
      </c>
      <c r="O43" s="16" t="s">
        <v>281</v>
      </c>
      <c r="P43" s="16" t="s">
        <v>279</v>
      </c>
    </row>
    <row r="44" spans="1:16" s="84" customFormat="1">
      <c r="A44" s="35">
        <v>42</v>
      </c>
      <c r="B44" s="26"/>
      <c r="C44" s="26" t="str">
        <f t="shared" si="2"/>
        <v/>
      </c>
      <c r="D44" s="26"/>
      <c r="E44" s="26" t="str">
        <f>IF(OR(ISBLANK(F44),ISNUMBER(FIND("Object",M44))),G44,
IF(OR(AND(ISBLANK(M44),D44&lt;&gt;"null"),ISNUMBER(FIND("Date",M44))),
_xlfn.CONCAT($J$1,C44,G44,$J$1,": ",,$J$1,D44,$J$1,IF(LEFT(E45,1)="}","",",")),
_xlfn.CONCAT($J$1,C44,G44,$J$1,": ",,,D44,,IF(LEFT(E45,1)="}","",","))))</f>
        <v>},</v>
      </c>
      <c r="F44" s="27"/>
      <c r="G44" s="26" t="s">
        <v>93</v>
      </c>
      <c r="H44" s="26"/>
      <c r="I44" s="26"/>
      <c r="J44" s="26"/>
      <c r="K44" s="26"/>
      <c r="L44" s="27"/>
      <c r="M44" s="26"/>
      <c r="N44" s="26"/>
      <c r="O44" s="26"/>
      <c r="P44" s="26"/>
    </row>
    <row r="45" spans="1:16">
      <c r="A45" s="35">
        <v>43</v>
      </c>
      <c r="B45" s="16" t="s">
        <v>119</v>
      </c>
      <c r="C45" s="16"/>
      <c r="D45" s="16" t="s">
        <v>282</v>
      </c>
      <c r="E45" s="19" t="str">
        <f>IF(OR(ISBLANK(F45),ISNUMBER(FIND("Object",M45))),G45,
IF(OR(AND(ISBLANK(M45),D45&lt;&gt;"null"),ISNUMBER(FIND("Date",M45))),
_xlfn.CONCAT($J$1,C45,G45,$J$1,": ",,$J$1,D45,$J$1,IF(LEFT(E46,1)="}","",",")),
_xlfn.CONCAT($J$1,C45,G45,$J$1,": ",,,D45,,IF(LEFT(E46,1)="}","",","))))</f>
        <v>"companyRegistrationNumber": "AT12345",</v>
      </c>
      <c r="F45" s="4" t="s">
        <v>87</v>
      </c>
      <c r="G45" s="89" t="s">
        <v>283</v>
      </c>
      <c r="H45" s="16"/>
      <c r="I45" s="16"/>
      <c r="J45" s="16"/>
      <c r="K45" s="16"/>
      <c r="M45" s="16"/>
      <c r="N45" s="16" t="s">
        <v>112</v>
      </c>
      <c r="O45" s="89" t="s">
        <v>284</v>
      </c>
      <c r="P45" s="37" t="s">
        <v>285</v>
      </c>
    </row>
    <row r="46" spans="1:16" s="83" customFormat="1">
      <c r="A46" s="35">
        <v>44</v>
      </c>
      <c r="B46" s="90"/>
      <c r="C46" s="90"/>
      <c r="D46" s="90"/>
      <c r="E46" s="90" t="str">
        <f>IF(OR(ISBLANK(F46),ISNUMBER(FIND("Object",M46))),G46,
IF(OR(AND(ISBLANK(M46),D46&lt;&gt;"null"),ISNUMBER(FIND("Date",M46))),
_xlfn.CONCAT($J$1,C46,G46,$J$1,": ",,$J$1,D46,$J$1,IF(LEFT(E47,1)="}","",",")),
_xlfn.CONCAT($J$1,C46,G46,$J$1,": ",,,D46,,IF(LEFT(E47,1)="}","",","))))</f>
        <v>"TaxInformation": [{</v>
      </c>
      <c r="F46" s="91"/>
      <c r="G46" s="92" t="s">
        <v>286</v>
      </c>
      <c r="H46" s="90"/>
      <c r="I46" s="90"/>
      <c r="J46" s="90"/>
      <c r="K46" s="90"/>
      <c r="L46" s="91"/>
      <c r="M46" s="90"/>
      <c r="N46" s="90"/>
      <c r="O46" s="90"/>
      <c r="P46" s="90"/>
    </row>
    <row r="47" spans="1:16" s="29" customFormat="1" ht="60.75">
      <c r="A47" s="35">
        <v>45</v>
      </c>
      <c r="B47" s="16" t="s">
        <v>75</v>
      </c>
      <c r="C47" s="16"/>
      <c r="D47" s="16" t="s">
        <v>209</v>
      </c>
      <c r="E47" s="19" t="str">
        <f>IF(OR(ISBLANK(F47),ISNUMBER(FIND("Object",M47))),G47,
IF(OR(AND(ISBLANK(M47),D47&lt;&gt;"null"),ISNUMBER(FIND("Date",M47))),
_xlfn.CONCAT($J$1,C47,G47,$J$1,": ",,$J$1,D47,$J$1,IF(LEFT(E48,1)="}","",",")),
_xlfn.CONCAT($J$1,C47,G47,$J$1,": ",,,D47,,IF(LEFT(E48,1)="}","",","))))</f>
        <v>"taxNumberType": "AT0",</v>
      </c>
      <c r="F47" s="4" t="s">
        <v>77</v>
      </c>
      <c r="G47" s="16" t="s">
        <v>210</v>
      </c>
      <c r="H47" s="16" t="s">
        <v>211</v>
      </c>
      <c r="I47" s="16" t="s">
        <v>212</v>
      </c>
      <c r="J47" s="16" t="s">
        <v>80</v>
      </c>
      <c r="K47" s="16">
        <v>4</v>
      </c>
      <c r="L47" s="32" t="s">
        <v>90</v>
      </c>
      <c r="M47" s="16"/>
      <c r="N47" s="16" t="s">
        <v>112</v>
      </c>
      <c r="O47" s="119" t="s">
        <v>287</v>
      </c>
      <c r="P47" s="16"/>
    </row>
    <row r="48" spans="1:16">
      <c r="A48" s="35">
        <v>46</v>
      </c>
      <c r="B48" s="16" t="s">
        <v>75</v>
      </c>
      <c r="C48" s="16"/>
      <c r="D48" s="16" t="s">
        <v>214</v>
      </c>
      <c r="E48" s="19" t="str">
        <f>IF(OR(ISBLANK(F48),ISNUMBER(FIND("Object",M48))),G48,
IF(OR(AND(ISBLANK(M48),D48&lt;&gt;"null"),ISNUMBER(FIND("Date",M48))),
_xlfn.CONCAT($J$1,C48,G48,$J$1,": ",,$J$1,D48,$J$1,IF(LEFT(E49,1)="}","",",")),
_xlfn.CONCAT($J$1,C48,G48,$J$1,": ",,,D48,,IF(LEFT(E49,1)="}","",","))))</f>
        <v>"taxNumber": "ATU123213812"</v>
      </c>
      <c r="F48" s="4" t="s">
        <v>87</v>
      </c>
      <c r="G48" s="16" t="s">
        <v>215</v>
      </c>
      <c r="H48" s="16" t="s">
        <v>216</v>
      </c>
      <c r="I48" s="16"/>
      <c r="J48" s="16" t="s">
        <v>80</v>
      </c>
      <c r="K48" s="16">
        <v>40</v>
      </c>
      <c r="M48" s="16"/>
      <c r="N48" s="16" t="s">
        <v>112</v>
      </c>
      <c r="O48" s="16" t="s">
        <v>217</v>
      </c>
      <c r="P48" s="16"/>
    </row>
    <row r="49" spans="1:16" s="25" customFormat="1">
      <c r="A49" s="35">
        <v>47</v>
      </c>
      <c r="B49" s="19"/>
      <c r="C49" s="19"/>
      <c r="D49" s="19"/>
      <c r="E49" s="19" t="str">
        <f t="shared" ref="E49:E55" si="4">IF(OR(ISBLANK(F49),ISNUMBER(FIND("Object",M49))),G49,
IF(OR(AND(ISBLANK(M49),D49&lt;&gt;"null"),ISNUMBER(FIND("Date",M49))),
_xlfn.CONCAT($J$1,C49,G49,$J$1,": ",,$J$1,D49,$J$1,IF(LEFT(E50,1)="}","",",")),
_xlfn.CONCAT($J$1,C49,G49,$J$1,": ",,,D49,,IF(LEFT(E50,1)="}","",","))))</f>
        <v>}],</v>
      </c>
      <c r="F49" s="22"/>
      <c r="G49" s="26" t="s">
        <v>288</v>
      </c>
      <c r="H49" s="19"/>
      <c r="I49" s="19"/>
      <c r="J49" s="19"/>
      <c r="K49" s="19"/>
      <c r="L49" s="22"/>
      <c r="M49" s="19"/>
      <c r="N49" s="19"/>
      <c r="O49" s="19"/>
      <c r="P49" s="19"/>
    </row>
    <row r="50" spans="1:16">
      <c r="A50" s="35">
        <v>48</v>
      </c>
      <c r="B50" s="16" t="s">
        <v>99</v>
      </c>
      <c r="C50" s="16"/>
      <c r="D50" s="86" t="s">
        <v>289</v>
      </c>
      <c r="E50" s="19" t="str">
        <f t="shared" si="4"/>
        <v>"dateOfBirth": "1963-05-01",</v>
      </c>
      <c r="F50" s="4" t="s">
        <v>87</v>
      </c>
      <c r="G50" s="31" t="s">
        <v>219</v>
      </c>
      <c r="H50" s="16" t="s">
        <v>220</v>
      </c>
      <c r="I50" s="16" t="s">
        <v>221</v>
      </c>
      <c r="J50" s="16" t="s">
        <v>222</v>
      </c>
      <c r="K50" s="16">
        <v>8</v>
      </c>
      <c r="M50" s="31" t="s">
        <v>290</v>
      </c>
      <c r="N50" s="16" t="s">
        <v>112</v>
      </c>
      <c r="O50" s="16" t="s">
        <v>223</v>
      </c>
      <c r="P50" s="16"/>
    </row>
    <row r="51" spans="1:16" s="29" customFormat="1">
      <c r="A51" s="35">
        <v>49</v>
      </c>
      <c r="B51" s="16" t="s">
        <v>119</v>
      </c>
      <c r="C51" s="16"/>
      <c r="D51" s="93" t="s">
        <v>291</v>
      </c>
      <c r="E51" s="19" t="str">
        <f t="shared" si="4"/>
        <v>"industry": "017",</v>
      </c>
      <c r="F51" s="4" t="s">
        <v>87</v>
      </c>
      <c r="G51" s="31" t="s">
        <v>227</v>
      </c>
      <c r="H51" s="16" t="s">
        <v>228</v>
      </c>
      <c r="I51" s="16"/>
      <c r="J51" s="16" t="s">
        <v>80</v>
      </c>
      <c r="K51" s="16">
        <v>10</v>
      </c>
      <c r="L51" s="4" t="s">
        <v>90</v>
      </c>
      <c r="M51" s="16"/>
      <c r="N51" s="16" t="s">
        <v>91</v>
      </c>
      <c r="O51" s="16" t="s">
        <v>230</v>
      </c>
      <c r="P51" s="16"/>
    </row>
    <row r="52" spans="1:16">
      <c r="A52" s="35">
        <v>50</v>
      </c>
      <c r="B52" s="67" t="s">
        <v>119</v>
      </c>
      <c r="C52" s="67"/>
      <c r="D52" s="67" t="s">
        <v>231</v>
      </c>
      <c r="E52" s="66" t="str">
        <f t="shared" si="4"/>
        <v>"Branchensystem": "Z001",</v>
      </c>
      <c r="F52" s="68" t="s">
        <v>87</v>
      </c>
      <c r="G52" s="67" t="s">
        <v>232</v>
      </c>
      <c r="H52" s="67" t="s">
        <v>233</v>
      </c>
      <c r="I52" s="16"/>
      <c r="J52" s="16" t="s">
        <v>80</v>
      </c>
      <c r="K52" s="16">
        <v>4</v>
      </c>
      <c r="M52" s="16"/>
      <c r="O52" s="16" t="s">
        <v>292</v>
      </c>
      <c r="P52" s="94" t="s">
        <v>293</v>
      </c>
    </row>
    <row r="53" spans="1:16">
      <c r="A53" s="35">
        <v>51</v>
      </c>
      <c r="B53" s="16" t="s">
        <v>99</v>
      </c>
      <c r="C53" s="16"/>
      <c r="D53" s="16" t="s">
        <v>218</v>
      </c>
      <c r="E53" s="19" t="str">
        <f t="shared" si="4"/>
        <v>"dateOfDeath": "2012-04-21T18:25:43-05:00",</v>
      </c>
      <c r="F53" s="4" t="s">
        <v>87</v>
      </c>
      <c r="G53" s="31" t="s">
        <v>235</v>
      </c>
      <c r="H53" s="16"/>
      <c r="I53" s="16"/>
      <c r="J53" s="16"/>
      <c r="K53" s="16"/>
      <c r="M53" s="16"/>
      <c r="N53" s="16" t="s">
        <v>112</v>
      </c>
      <c r="O53" s="16" t="s">
        <v>236</v>
      </c>
      <c r="P53" s="16"/>
    </row>
    <row r="54" spans="1:16">
      <c r="A54" s="35">
        <v>52</v>
      </c>
      <c r="B54" s="16" t="s">
        <v>119</v>
      </c>
      <c r="C54" s="16"/>
      <c r="D54" s="16" t="s">
        <v>218</v>
      </c>
      <c r="E54" s="19" t="str">
        <f t="shared" si="4"/>
        <v>"orgLiquidationDate": "2012-04-21T18:25:43-05:00",</v>
      </c>
      <c r="F54" s="4" t="s">
        <v>87</v>
      </c>
      <c r="G54" s="31" t="s">
        <v>237</v>
      </c>
      <c r="H54" s="16" t="s">
        <v>294</v>
      </c>
      <c r="I54" s="16"/>
      <c r="J54" s="16"/>
      <c r="K54" s="16"/>
      <c r="M54" s="16" t="s">
        <v>290</v>
      </c>
      <c r="N54" s="16" t="s">
        <v>112</v>
      </c>
      <c r="O54" s="16" t="s">
        <v>238</v>
      </c>
      <c r="P54" s="16"/>
    </row>
    <row r="55" spans="1:16" ht="60.75">
      <c r="A55" s="35">
        <v>53</v>
      </c>
      <c r="B55" s="31"/>
      <c r="D55" s="16" t="s">
        <v>295</v>
      </c>
      <c r="E55" s="19" t="str">
        <f t="shared" si="4"/>
        <v>"keyAccounter": "EK-101"</v>
      </c>
      <c r="F55" s="4" t="s">
        <v>87</v>
      </c>
      <c r="G55" s="31" t="s">
        <v>296</v>
      </c>
      <c r="J55" s="16" t="s">
        <v>80</v>
      </c>
      <c r="K55" s="4">
        <v>10</v>
      </c>
      <c r="N55" s="106" t="s">
        <v>297</v>
      </c>
      <c r="O55" s="5" t="s">
        <v>298</v>
      </c>
      <c r="P55" s="5" t="s">
        <v>299</v>
      </c>
    </row>
    <row r="56" spans="1:16" s="25" customFormat="1">
      <c r="A56" s="35">
        <v>54</v>
      </c>
      <c r="B56" s="19"/>
      <c r="C56" s="19"/>
      <c r="D56" s="19"/>
      <c r="E56" s="19" t="str">
        <f>IF(OR(ISBLANK(F56),ISNUMBER(FIND("Object",M56))),G56,
IF(OR(AND(ISBLANK(M56),D56&lt;&gt;"null"),ISNUMBER(FIND("Date",M56))),
_xlfn.CONCAT($J$1,C56,G56,$J$1,": ",,$J$1,D56,$J$1,IF(LEFT(E57,1)="}","",",")),
_xlfn.CONCAT($J$1,C56,G56,$J$1,": ",,,D56,,IF(LEFT(E57,1)="}","",","))))</f>
        <v>}</v>
      </c>
      <c r="F56" s="19"/>
      <c r="G56" s="26" t="s">
        <v>247</v>
      </c>
      <c r="H56" s="19"/>
      <c r="I56" s="19"/>
      <c r="J56" s="19"/>
      <c r="K56" s="19"/>
      <c r="L56" s="19"/>
      <c r="M56" s="19"/>
      <c r="N56" s="19"/>
      <c r="O56" s="19"/>
      <c r="P56" s="19"/>
    </row>
    <row r="57" spans="1:16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spans="1:16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6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1:16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</sheetData>
  <autoFilter ref="A2:P52" xr:uid="{02FB0506-52A2-4B73-BFD6-06CFDA61690E}"/>
  <mergeCells count="1">
    <mergeCell ref="A1:G1"/>
  </mergeCells>
  <phoneticPr fontId="8" type="noConversion"/>
  <hyperlinks>
    <hyperlink ref="N39" r:id="rId1" xr:uid="{48827659-0250-45E0-B140-C16BA4A1E943}"/>
    <hyperlink ref="N43" r:id="rId2" xr:uid="{1B8416D5-743F-40EC-B29B-AD054F157019}"/>
    <hyperlink ref="N42" r:id="rId3" xr:uid="{B8B4D7A2-9D3D-4237-8A24-A90F60FC5538}"/>
    <hyperlink ref="D34" r:id="rId4" xr:uid="{1C5C08EC-3F5E-4BA1-98FE-E297A670F959}"/>
  </hyperlinks>
  <pageMargins left="0.7" right="0.7" top="0.75" bottom="0.75" header="0.3" footer="0.3"/>
  <pageSetup paperSize="9" orientation="portrait"/>
  <headerFooter>
    <oddFooter>&amp;L_x000D_&amp;1#&amp;"Aptos"&amp;10&amp;K000000 TLP:AMBER - vertraulich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97E3-B937-4D6A-91F4-0463A175DA24}">
  <dimension ref="A1:B9"/>
  <sheetViews>
    <sheetView workbookViewId="0">
      <selection activeCell="B6" sqref="B6"/>
    </sheetView>
  </sheetViews>
  <sheetFormatPr defaultColWidth="8.85546875" defaultRowHeight="15"/>
  <cols>
    <col min="1" max="1" width="58.42578125" customWidth="1"/>
    <col min="2" max="2" width="68.85546875" customWidth="1"/>
  </cols>
  <sheetData>
    <row r="1" spans="1:2">
      <c r="A1" t="s">
        <v>300</v>
      </c>
      <c r="B1" s="6"/>
    </row>
    <row r="2" spans="1:2">
      <c r="A2" t="s">
        <v>301</v>
      </c>
    </row>
    <row r="3" spans="1:2">
      <c r="A3" t="s">
        <v>302</v>
      </c>
    </row>
    <row r="4" spans="1:2">
      <c r="A4" t="s">
        <v>303</v>
      </c>
    </row>
    <row r="5" spans="1:2">
      <c r="A5" t="s">
        <v>304</v>
      </c>
    </row>
    <row r="6" spans="1:2">
      <c r="A6" t="s">
        <v>305</v>
      </c>
    </row>
    <row r="7" spans="1:2">
      <c r="A7" t="s">
        <v>306</v>
      </c>
    </row>
    <row r="8" spans="1:2">
      <c r="A8" t="s">
        <v>307</v>
      </c>
    </row>
    <row r="9" spans="1:2">
      <c r="A9" t="s">
        <v>308</v>
      </c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5AF4-68F4-4291-9F70-7CDE9450F6A3}">
  <dimension ref="A1:E610"/>
  <sheetViews>
    <sheetView zoomScale="85" zoomScaleNormal="85" workbookViewId="0">
      <pane ySplit="2" topLeftCell="A3" activePane="bottomLeft" state="frozen"/>
      <selection pane="bottomLeft" activeCell="B10" sqref="B10"/>
    </sheetView>
  </sheetViews>
  <sheetFormatPr defaultColWidth="8.85546875" defaultRowHeight="15"/>
  <cols>
    <col min="1" max="1" width="43.140625" customWidth="1"/>
    <col min="2" max="2" width="90.42578125" customWidth="1"/>
    <col min="3" max="3" width="58.42578125" customWidth="1"/>
    <col min="4" max="4" width="44.7109375" customWidth="1"/>
    <col min="5" max="5" width="61.85546875" customWidth="1"/>
    <col min="6" max="6" width="17.140625" customWidth="1"/>
  </cols>
  <sheetData>
    <row r="1" spans="1:5" ht="24" customHeight="1">
      <c r="C1" s="117"/>
      <c r="D1" s="117"/>
    </row>
    <row r="2" spans="1:5">
      <c r="A2" s="6" t="s">
        <v>309</v>
      </c>
      <c r="B2" s="6" t="s">
        <v>310</v>
      </c>
      <c r="C2" s="6" t="s">
        <v>311</v>
      </c>
      <c r="D2" s="99" t="s">
        <v>312</v>
      </c>
      <c r="E2" s="6" t="s">
        <v>313</v>
      </c>
    </row>
    <row r="3" spans="1:5">
      <c r="A3" t="s">
        <v>314</v>
      </c>
      <c r="B3" t="s">
        <v>315</v>
      </c>
      <c r="C3" t="s">
        <v>316</v>
      </c>
      <c r="D3" s="95" t="s">
        <v>317</v>
      </c>
    </row>
    <row r="4" spans="1:5">
      <c r="A4" t="s">
        <v>314</v>
      </c>
      <c r="B4" t="s">
        <v>318</v>
      </c>
      <c r="C4" t="s">
        <v>316</v>
      </c>
      <c r="D4" s="95" t="s">
        <v>319</v>
      </c>
    </row>
    <row r="5" spans="1:5">
      <c r="A5" t="s">
        <v>320</v>
      </c>
      <c r="B5" t="s">
        <v>321</v>
      </c>
      <c r="C5" s="14" t="s">
        <v>322</v>
      </c>
      <c r="D5" s="100" t="s">
        <v>323</v>
      </c>
    </row>
    <row r="6" spans="1:5">
      <c r="A6" t="s">
        <v>320</v>
      </c>
      <c r="B6" t="s">
        <v>324</v>
      </c>
      <c r="C6" s="14" t="s">
        <v>322</v>
      </c>
      <c r="D6" s="100" t="s">
        <v>325</v>
      </c>
    </row>
    <row r="7" spans="1:5">
      <c r="A7" t="s">
        <v>320</v>
      </c>
      <c r="B7" t="s">
        <v>326</v>
      </c>
      <c r="C7" s="14" t="s">
        <v>322</v>
      </c>
      <c r="D7" s="100" t="s">
        <v>327</v>
      </c>
    </row>
    <row r="8" spans="1:5">
      <c r="A8" t="s">
        <v>320</v>
      </c>
      <c r="B8" t="s">
        <v>328</v>
      </c>
      <c r="C8" s="14" t="s">
        <v>322</v>
      </c>
      <c r="D8" s="100" t="s">
        <v>329</v>
      </c>
    </row>
    <row r="9" spans="1:5">
      <c r="A9" t="s">
        <v>320</v>
      </c>
      <c r="B9" t="s">
        <v>330</v>
      </c>
      <c r="C9" s="14" t="s">
        <v>322</v>
      </c>
      <c r="D9" s="100" t="s">
        <v>331</v>
      </c>
    </row>
    <row r="10" spans="1:5">
      <c r="A10" t="s">
        <v>320</v>
      </c>
      <c r="B10" t="s">
        <v>332</v>
      </c>
      <c r="C10" s="14" t="s">
        <v>322</v>
      </c>
      <c r="D10" s="100" t="s">
        <v>333</v>
      </c>
    </row>
    <row r="11" spans="1:5">
      <c r="A11" t="s">
        <v>320</v>
      </c>
      <c r="B11" t="s">
        <v>334</v>
      </c>
      <c r="C11" s="14" t="s">
        <v>322</v>
      </c>
      <c r="D11" s="100" t="s">
        <v>335</v>
      </c>
    </row>
    <row r="12" spans="1:5">
      <c r="A12" t="s">
        <v>320</v>
      </c>
      <c r="B12" t="s">
        <v>336</v>
      </c>
      <c r="C12" s="14" t="s">
        <v>322</v>
      </c>
      <c r="D12" s="100" t="s">
        <v>337</v>
      </c>
    </row>
    <row r="13" spans="1:5">
      <c r="A13" t="s">
        <v>320</v>
      </c>
      <c r="B13" t="s">
        <v>338</v>
      </c>
      <c r="C13" s="14" t="s">
        <v>322</v>
      </c>
      <c r="D13" s="100" t="s">
        <v>339</v>
      </c>
    </row>
    <row r="14" spans="1:5">
      <c r="A14" t="s">
        <v>320</v>
      </c>
      <c r="B14" t="s">
        <v>340</v>
      </c>
      <c r="C14" s="14" t="s">
        <v>322</v>
      </c>
      <c r="D14" s="100" t="s">
        <v>341</v>
      </c>
    </row>
    <row r="15" spans="1:5">
      <c r="A15" t="s">
        <v>320</v>
      </c>
      <c r="B15" t="s">
        <v>342</v>
      </c>
      <c r="C15" s="14" t="s">
        <v>322</v>
      </c>
      <c r="D15" s="100" t="s">
        <v>343</v>
      </c>
    </row>
    <row r="16" spans="1:5">
      <c r="A16" t="s">
        <v>344</v>
      </c>
      <c r="B16" s="96" t="s">
        <v>345</v>
      </c>
      <c r="C16" s="14" t="s">
        <v>346</v>
      </c>
      <c r="D16" s="100" t="s">
        <v>345</v>
      </c>
      <c r="E16" t="s">
        <v>347</v>
      </c>
    </row>
    <row r="17" spans="1:4">
      <c r="A17" t="s">
        <v>344</v>
      </c>
      <c r="B17" s="96" t="s">
        <v>348</v>
      </c>
      <c r="C17" s="14" t="s">
        <v>346</v>
      </c>
      <c r="D17" s="100" t="s">
        <v>348</v>
      </c>
    </row>
    <row r="18" spans="1:4">
      <c r="A18" t="s">
        <v>349</v>
      </c>
      <c r="B18" t="s">
        <v>350</v>
      </c>
      <c r="C18" s="14" t="s">
        <v>96</v>
      </c>
      <c r="D18" s="101" t="s">
        <v>351</v>
      </c>
    </row>
    <row r="19" spans="1:4">
      <c r="A19" t="s">
        <v>349</v>
      </c>
      <c r="B19" t="s">
        <v>95</v>
      </c>
      <c r="C19" s="14" t="s">
        <v>96</v>
      </c>
      <c r="D19" s="101" t="s">
        <v>352</v>
      </c>
    </row>
    <row r="20" spans="1:4">
      <c r="A20" t="s">
        <v>349</v>
      </c>
      <c r="B20" t="s">
        <v>353</v>
      </c>
      <c r="C20" s="14" t="s">
        <v>96</v>
      </c>
      <c r="D20" s="101" t="s">
        <v>257</v>
      </c>
    </row>
    <row r="21" spans="1:4">
      <c r="A21" t="s">
        <v>349</v>
      </c>
      <c r="B21" t="s">
        <v>354</v>
      </c>
      <c r="C21" s="14" t="s">
        <v>96</v>
      </c>
      <c r="D21" s="102" t="s">
        <v>355</v>
      </c>
    </row>
    <row r="22" spans="1:4">
      <c r="A22" t="s">
        <v>349</v>
      </c>
      <c r="B22" t="s">
        <v>356</v>
      </c>
      <c r="C22" t="s">
        <v>356</v>
      </c>
      <c r="D22" s="102" t="s">
        <v>357</v>
      </c>
    </row>
    <row r="23" spans="1:4">
      <c r="A23" t="s">
        <v>349</v>
      </c>
      <c r="B23" t="s">
        <v>358</v>
      </c>
      <c r="C23" t="s">
        <v>358</v>
      </c>
      <c r="D23" s="102" t="s">
        <v>359</v>
      </c>
    </row>
    <row r="24" spans="1:4" ht="16.5">
      <c r="A24" t="s">
        <v>360</v>
      </c>
      <c r="B24" s="97" t="s">
        <v>361</v>
      </c>
      <c r="C24" s="14" t="s">
        <v>101</v>
      </c>
      <c r="D24" s="103" t="s">
        <v>362</v>
      </c>
    </row>
    <row r="25" spans="1:4" ht="16.5">
      <c r="A25" t="s">
        <v>360</v>
      </c>
      <c r="B25" s="97" t="s">
        <v>363</v>
      </c>
      <c r="C25" s="14" t="s">
        <v>101</v>
      </c>
      <c r="D25" s="103" t="s">
        <v>362</v>
      </c>
    </row>
    <row r="26" spans="1:4" ht="16.5">
      <c r="A26" t="s">
        <v>360</v>
      </c>
      <c r="B26" s="97" t="s">
        <v>364</v>
      </c>
      <c r="C26" s="14" t="s">
        <v>101</v>
      </c>
      <c r="D26" s="103" t="s">
        <v>362</v>
      </c>
    </row>
    <row r="27" spans="1:4" ht="16.5">
      <c r="A27" t="s">
        <v>360</v>
      </c>
      <c r="B27" s="97" t="s">
        <v>365</v>
      </c>
      <c r="C27" s="14" t="s">
        <v>101</v>
      </c>
      <c r="D27" s="103" t="s">
        <v>362</v>
      </c>
    </row>
    <row r="28" spans="1:4" ht="16.5">
      <c r="A28" t="s">
        <v>360</v>
      </c>
      <c r="B28" s="97" t="s">
        <v>366</v>
      </c>
      <c r="C28" s="14" t="s">
        <v>101</v>
      </c>
      <c r="D28" s="103" t="s">
        <v>362</v>
      </c>
    </row>
    <row r="29" spans="1:4" ht="16.5">
      <c r="A29" t="s">
        <v>360</v>
      </c>
      <c r="B29" s="97" t="s">
        <v>367</v>
      </c>
      <c r="C29" s="14" t="s">
        <v>101</v>
      </c>
      <c r="D29" s="103" t="s">
        <v>362</v>
      </c>
    </row>
    <row r="30" spans="1:4" ht="16.5">
      <c r="A30" t="s">
        <v>360</v>
      </c>
      <c r="B30" s="97" t="s">
        <v>368</v>
      </c>
      <c r="C30" s="14" t="s">
        <v>101</v>
      </c>
      <c r="D30" s="103" t="s">
        <v>362</v>
      </c>
    </row>
    <row r="31" spans="1:4" ht="16.5">
      <c r="A31" t="s">
        <v>360</v>
      </c>
      <c r="B31" s="97" t="s">
        <v>369</v>
      </c>
      <c r="C31" s="14" t="s">
        <v>101</v>
      </c>
      <c r="D31" s="103" t="s">
        <v>362</v>
      </c>
    </row>
    <row r="32" spans="1:4" ht="16.5">
      <c r="A32" t="s">
        <v>360</v>
      </c>
      <c r="B32" s="97" t="s">
        <v>370</v>
      </c>
      <c r="C32" s="14" t="s">
        <v>101</v>
      </c>
      <c r="D32" s="103" t="s">
        <v>362</v>
      </c>
    </row>
    <row r="33" spans="1:4" ht="16.5">
      <c r="A33" t="s">
        <v>360</v>
      </c>
      <c r="B33" s="97" t="s">
        <v>371</v>
      </c>
      <c r="C33" s="14" t="s">
        <v>101</v>
      </c>
      <c r="D33" s="103" t="s">
        <v>362</v>
      </c>
    </row>
    <row r="34" spans="1:4" ht="16.5">
      <c r="A34" t="s">
        <v>360</v>
      </c>
      <c r="B34" s="97" t="s">
        <v>372</v>
      </c>
      <c r="C34" s="14" t="s">
        <v>101</v>
      </c>
      <c r="D34" s="103" t="s">
        <v>362</v>
      </c>
    </row>
    <row r="35" spans="1:4" ht="16.5">
      <c r="A35" t="s">
        <v>360</v>
      </c>
      <c r="B35" s="97" t="s">
        <v>373</v>
      </c>
      <c r="C35" s="14" t="s">
        <v>101</v>
      </c>
      <c r="D35" s="103" t="s">
        <v>362</v>
      </c>
    </row>
    <row r="36" spans="1:4" ht="16.5">
      <c r="A36" t="s">
        <v>360</v>
      </c>
      <c r="B36" s="97" t="s">
        <v>374</v>
      </c>
      <c r="C36" s="14" t="s">
        <v>101</v>
      </c>
      <c r="D36" s="103" t="s">
        <v>362</v>
      </c>
    </row>
    <row r="37" spans="1:4" ht="16.5">
      <c r="A37" t="s">
        <v>360</v>
      </c>
      <c r="B37" s="97" t="s">
        <v>375</v>
      </c>
      <c r="C37" s="14" t="s">
        <v>101</v>
      </c>
      <c r="D37" s="103" t="s">
        <v>362</v>
      </c>
    </row>
    <row r="38" spans="1:4" ht="16.5">
      <c r="A38" t="s">
        <v>360</v>
      </c>
      <c r="B38" s="97" t="s">
        <v>376</v>
      </c>
      <c r="C38" s="14" t="s">
        <v>101</v>
      </c>
      <c r="D38" s="103" t="s">
        <v>362</v>
      </c>
    </row>
    <row r="39" spans="1:4" ht="16.5">
      <c r="A39" t="s">
        <v>360</v>
      </c>
      <c r="B39" s="97" t="s">
        <v>377</v>
      </c>
      <c r="C39" s="14" t="s">
        <v>101</v>
      </c>
      <c r="D39" s="103" t="s">
        <v>362</v>
      </c>
    </row>
    <row r="40" spans="1:4" ht="16.5">
      <c r="A40" t="s">
        <v>360</v>
      </c>
      <c r="B40" s="97" t="s">
        <v>378</v>
      </c>
      <c r="C40" s="14" t="s">
        <v>101</v>
      </c>
      <c r="D40" s="103" t="s">
        <v>362</v>
      </c>
    </row>
    <row r="41" spans="1:4" ht="16.5">
      <c r="A41" t="s">
        <v>360</v>
      </c>
      <c r="B41" s="97" t="s">
        <v>379</v>
      </c>
      <c r="C41" s="14" t="s">
        <v>101</v>
      </c>
      <c r="D41" s="103" t="s">
        <v>362</v>
      </c>
    </row>
    <row r="42" spans="1:4" ht="16.5">
      <c r="A42" t="s">
        <v>360</v>
      </c>
      <c r="B42" s="97" t="s">
        <v>380</v>
      </c>
      <c r="C42" s="14" t="s">
        <v>101</v>
      </c>
      <c r="D42" s="103" t="s">
        <v>362</v>
      </c>
    </row>
    <row r="43" spans="1:4" ht="16.5">
      <c r="A43" t="s">
        <v>360</v>
      </c>
      <c r="B43" s="97" t="s">
        <v>381</v>
      </c>
      <c r="C43" s="14" t="s">
        <v>101</v>
      </c>
      <c r="D43" s="103" t="s">
        <v>362</v>
      </c>
    </row>
    <row r="44" spans="1:4" ht="16.5">
      <c r="A44" t="s">
        <v>360</v>
      </c>
      <c r="B44" s="97" t="s">
        <v>382</v>
      </c>
      <c r="C44" s="14" t="s">
        <v>101</v>
      </c>
      <c r="D44" s="103" t="s">
        <v>362</v>
      </c>
    </row>
    <row r="45" spans="1:4" ht="16.5">
      <c r="A45" t="s">
        <v>360</v>
      </c>
      <c r="B45" s="97" t="s">
        <v>383</v>
      </c>
      <c r="C45" s="14" t="s">
        <v>101</v>
      </c>
      <c r="D45" s="103" t="s">
        <v>362</v>
      </c>
    </row>
    <row r="46" spans="1:4" ht="16.5">
      <c r="A46" t="s">
        <v>360</v>
      </c>
      <c r="B46" s="97" t="s">
        <v>384</v>
      </c>
      <c r="C46" s="14" t="s">
        <v>101</v>
      </c>
      <c r="D46" s="103" t="s">
        <v>362</v>
      </c>
    </row>
    <row r="47" spans="1:4" ht="16.5">
      <c r="A47" t="s">
        <v>360</v>
      </c>
      <c r="B47" s="97" t="s">
        <v>385</v>
      </c>
      <c r="C47" s="14" t="s">
        <v>101</v>
      </c>
      <c r="D47" s="103" t="s">
        <v>362</v>
      </c>
    </row>
    <row r="48" spans="1:4" ht="16.5">
      <c r="A48" t="s">
        <v>360</v>
      </c>
      <c r="B48" s="97" t="s">
        <v>386</v>
      </c>
      <c r="C48" s="14" t="s">
        <v>101</v>
      </c>
      <c r="D48" s="103" t="s">
        <v>362</v>
      </c>
    </row>
    <row r="49" spans="1:4" ht="16.5">
      <c r="A49" t="s">
        <v>360</v>
      </c>
      <c r="B49" s="97" t="s">
        <v>387</v>
      </c>
      <c r="C49" s="14" t="s">
        <v>101</v>
      </c>
      <c r="D49" s="103" t="s">
        <v>362</v>
      </c>
    </row>
    <row r="50" spans="1:4" ht="16.5">
      <c r="A50" t="s">
        <v>360</v>
      </c>
      <c r="B50" s="97" t="s">
        <v>388</v>
      </c>
      <c r="C50" s="14" t="s">
        <v>101</v>
      </c>
      <c r="D50" s="103" t="s">
        <v>362</v>
      </c>
    </row>
    <row r="51" spans="1:4" ht="16.5">
      <c r="A51" t="s">
        <v>360</v>
      </c>
      <c r="B51" s="97" t="s">
        <v>389</v>
      </c>
      <c r="C51" s="14" t="s">
        <v>101</v>
      </c>
      <c r="D51" s="103" t="s">
        <v>362</v>
      </c>
    </row>
    <row r="52" spans="1:4" ht="16.5">
      <c r="A52" t="s">
        <v>360</v>
      </c>
      <c r="B52" s="97" t="s">
        <v>390</v>
      </c>
      <c r="C52" s="14" t="s">
        <v>101</v>
      </c>
      <c r="D52" s="103" t="s">
        <v>362</v>
      </c>
    </row>
    <row r="53" spans="1:4" ht="16.5">
      <c r="A53" t="s">
        <v>360</v>
      </c>
      <c r="B53" s="97" t="s">
        <v>391</v>
      </c>
      <c r="C53" s="14" t="s">
        <v>101</v>
      </c>
      <c r="D53" s="103" t="s">
        <v>362</v>
      </c>
    </row>
    <row r="54" spans="1:4" ht="16.5">
      <c r="A54" t="s">
        <v>360</v>
      </c>
      <c r="B54" s="97" t="s">
        <v>392</v>
      </c>
      <c r="C54" s="14" t="s">
        <v>101</v>
      </c>
      <c r="D54" s="103" t="s">
        <v>362</v>
      </c>
    </row>
    <row r="55" spans="1:4" ht="16.5">
      <c r="A55" t="s">
        <v>360</v>
      </c>
      <c r="B55" s="97" t="s">
        <v>393</v>
      </c>
      <c r="C55" s="14" t="s">
        <v>101</v>
      </c>
      <c r="D55" s="103" t="s">
        <v>362</v>
      </c>
    </row>
    <row r="56" spans="1:4" ht="16.5">
      <c r="A56" t="s">
        <v>360</v>
      </c>
      <c r="B56" s="97" t="s">
        <v>394</v>
      </c>
      <c r="C56" s="14" t="s">
        <v>101</v>
      </c>
      <c r="D56" s="103" t="s">
        <v>362</v>
      </c>
    </row>
    <row r="57" spans="1:4" ht="16.5">
      <c r="A57" t="s">
        <v>360</v>
      </c>
      <c r="B57" s="97" t="s">
        <v>395</v>
      </c>
      <c r="C57" s="14" t="s">
        <v>101</v>
      </c>
      <c r="D57" s="103" t="s">
        <v>362</v>
      </c>
    </row>
    <row r="58" spans="1:4" ht="16.5">
      <c r="A58" t="s">
        <v>360</v>
      </c>
      <c r="B58" s="97" t="s">
        <v>396</v>
      </c>
      <c r="C58" s="14" t="s">
        <v>101</v>
      </c>
      <c r="D58" s="103" t="s">
        <v>362</v>
      </c>
    </row>
    <row r="59" spans="1:4" ht="16.5">
      <c r="A59" t="s">
        <v>360</v>
      </c>
      <c r="B59" s="97" t="s">
        <v>397</v>
      </c>
      <c r="C59" s="14" t="s">
        <v>101</v>
      </c>
      <c r="D59" s="103" t="s">
        <v>362</v>
      </c>
    </row>
    <row r="60" spans="1:4" ht="16.5">
      <c r="A60" t="s">
        <v>360</v>
      </c>
      <c r="B60" s="97" t="s">
        <v>398</v>
      </c>
      <c r="C60" s="14" t="s">
        <v>101</v>
      </c>
      <c r="D60" s="103" t="s">
        <v>362</v>
      </c>
    </row>
    <row r="61" spans="1:4" ht="16.5">
      <c r="A61" t="s">
        <v>360</v>
      </c>
      <c r="B61" s="97" t="s">
        <v>100</v>
      </c>
      <c r="C61" s="14" t="s">
        <v>101</v>
      </c>
      <c r="D61" s="103" t="s">
        <v>362</v>
      </c>
    </row>
    <row r="62" spans="1:4" ht="16.5">
      <c r="A62" t="s">
        <v>360</v>
      </c>
      <c r="B62" s="97" t="s">
        <v>399</v>
      </c>
      <c r="C62" s="14" t="s">
        <v>101</v>
      </c>
      <c r="D62" s="103" t="s">
        <v>362</v>
      </c>
    </row>
    <row r="63" spans="1:4" ht="16.5">
      <c r="A63" t="s">
        <v>360</v>
      </c>
      <c r="B63" s="97" t="s">
        <v>400</v>
      </c>
      <c r="C63" s="14" t="s">
        <v>101</v>
      </c>
      <c r="D63" s="103" t="s">
        <v>362</v>
      </c>
    </row>
    <row r="64" spans="1:4" ht="16.5">
      <c r="A64" t="s">
        <v>360</v>
      </c>
      <c r="B64" s="97" t="s">
        <v>401</v>
      </c>
      <c r="C64" s="14" t="s">
        <v>101</v>
      </c>
      <c r="D64" s="103" t="s">
        <v>362</v>
      </c>
    </row>
    <row r="65" spans="1:4" ht="16.5">
      <c r="A65" t="s">
        <v>360</v>
      </c>
      <c r="B65" s="97" t="s">
        <v>402</v>
      </c>
      <c r="C65" s="14" t="s">
        <v>101</v>
      </c>
      <c r="D65" s="103" t="s">
        <v>362</v>
      </c>
    </row>
    <row r="66" spans="1:4" ht="16.5">
      <c r="A66" t="s">
        <v>360</v>
      </c>
      <c r="B66" s="97" t="s">
        <v>403</v>
      </c>
      <c r="C66" s="14" t="s">
        <v>101</v>
      </c>
      <c r="D66" s="103" t="s">
        <v>362</v>
      </c>
    </row>
    <row r="67" spans="1:4" ht="16.5">
      <c r="A67" t="s">
        <v>360</v>
      </c>
      <c r="B67" s="97" t="s">
        <v>404</v>
      </c>
      <c r="C67" s="14" t="s">
        <v>101</v>
      </c>
      <c r="D67" s="103" t="s">
        <v>362</v>
      </c>
    </row>
    <row r="68" spans="1:4" ht="16.5">
      <c r="A68" t="s">
        <v>360</v>
      </c>
      <c r="B68" s="97" t="s">
        <v>405</v>
      </c>
      <c r="C68" s="14" t="s">
        <v>101</v>
      </c>
      <c r="D68" s="103" t="s">
        <v>362</v>
      </c>
    </row>
    <row r="69" spans="1:4" ht="16.5">
      <c r="A69" t="s">
        <v>360</v>
      </c>
      <c r="B69" s="97" t="s">
        <v>406</v>
      </c>
      <c r="C69" s="14" t="s">
        <v>101</v>
      </c>
      <c r="D69" s="103" t="s">
        <v>362</v>
      </c>
    </row>
    <row r="70" spans="1:4" ht="16.5">
      <c r="A70" t="s">
        <v>360</v>
      </c>
      <c r="B70" s="97" t="s">
        <v>407</v>
      </c>
      <c r="C70" s="14" t="s">
        <v>101</v>
      </c>
      <c r="D70" s="103" t="s">
        <v>362</v>
      </c>
    </row>
    <row r="71" spans="1:4" ht="16.5">
      <c r="A71" t="s">
        <v>360</v>
      </c>
      <c r="B71" s="97" t="s">
        <v>408</v>
      </c>
      <c r="C71" s="14" t="s">
        <v>101</v>
      </c>
      <c r="D71" s="103" t="s">
        <v>362</v>
      </c>
    </row>
    <row r="72" spans="1:4" ht="16.5">
      <c r="A72" t="s">
        <v>360</v>
      </c>
      <c r="B72" s="97" t="s">
        <v>409</v>
      </c>
      <c r="C72" s="14" t="s">
        <v>101</v>
      </c>
      <c r="D72" s="103" t="s">
        <v>362</v>
      </c>
    </row>
    <row r="73" spans="1:4" ht="16.5">
      <c r="A73" t="s">
        <v>360</v>
      </c>
      <c r="B73" s="97" t="s">
        <v>410</v>
      </c>
      <c r="C73" s="14" t="s">
        <v>101</v>
      </c>
      <c r="D73" s="103" t="s">
        <v>362</v>
      </c>
    </row>
    <row r="74" spans="1:4" ht="16.5">
      <c r="A74" t="s">
        <v>360</v>
      </c>
      <c r="B74" s="97" t="s">
        <v>411</v>
      </c>
      <c r="C74" s="14" t="s">
        <v>101</v>
      </c>
      <c r="D74" s="103" t="s">
        <v>362</v>
      </c>
    </row>
    <row r="75" spans="1:4" ht="16.5">
      <c r="A75" t="s">
        <v>360</v>
      </c>
      <c r="B75" s="97" t="s">
        <v>412</v>
      </c>
      <c r="C75" s="14" t="s">
        <v>101</v>
      </c>
      <c r="D75" s="103" t="s">
        <v>362</v>
      </c>
    </row>
    <row r="76" spans="1:4" ht="16.5">
      <c r="A76" t="s">
        <v>360</v>
      </c>
      <c r="B76" s="97" t="s">
        <v>413</v>
      </c>
      <c r="C76" s="14" t="s">
        <v>101</v>
      </c>
      <c r="D76" s="103" t="s">
        <v>362</v>
      </c>
    </row>
    <row r="77" spans="1:4" ht="16.5">
      <c r="A77" t="s">
        <v>360</v>
      </c>
      <c r="B77" s="97" t="s">
        <v>414</v>
      </c>
      <c r="C77" s="14" t="s">
        <v>101</v>
      </c>
      <c r="D77" s="103" t="s">
        <v>362</v>
      </c>
    </row>
    <row r="78" spans="1:4" ht="16.5">
      <c r="A78" t="s">
        <v>360</v>
      </c>
      <c r="B78" s="97" t="s">
        <v>415</v>
      </c>
      <c r="C78" s="14" t="s">
        <v>101</v>
      </c>
      <c r="D78" s="103" t="s">
        <v>362</v>
      </c>
    </row>
    <row r="79" spans="1:4" ht="16.5">
      <c r="A79" t="s">
        <v>360</v>
      </c>
      <c r="B79" s="97" t="s">
        <v>416</v>
      </c>
      <c r="C79" s="14" t="s">
        <v>101</v>
      </c>
      <c r="D79" s="103" t="s">
        <v>362</v>
      </c>
    </row>
    <row r="80" spans="1:4" ht="16.5">
      <c r="A80" t="s">
        <v>360</v>
      </c>
      <c r="B80" s="97" t="s">
        <v>417</v>
      </c>
      <c r="C80" s="14" t="s">
        <v>101</v>
      </c>
      <c r="D80" s="103" t="s">
        <v>362</v>
      </c>
    </row>
    <row r="81" spans="1:4" ht="16.5">
      <c r="A81" t="s">
        <v>360</v>
      </c>
      <c r="B81" s="97" t="s">
        <v>418</v>
      </c>
      <c r="C81" s="14" t="s">
        <v>101</v>
      </c>
      <c r="D81" s="103" t="s">
        <v>362</v>
      </c>
    </row>
    <row r="82" spans="1:4" ht="16.5">
      <c r="A82" t="s">
        <v>360</v>
      </c>
      <c r="B82" s="97" t="s">
        <v>419</v>
      </c>
      <c r="C82" s="14" t="s">
        <v>101</v>
      </c>
      <c r="D82" s="103" t="s">
        <v>362</v>
      </c>
    </row>
    <row r="83" spans="1:4" ht="16.5">
      <c r="A83" t="s">
        <v>360</v>
      </c>
      <c r="B83" s="97" t="s">
        <v>420</v>
      </c>
      <c r="C83" s="14" t="s">
        <v>101</v>
      </c>
      <c r="D83" s="103" t="s">
        <v>362</v>
      </c>
    </row>
    <row r="84" spans="1:4" ht="16.5">
      <c r="A84" t="s">
        <v>360</v>
      </c>
      <c r="B84" s="97" t="s">
        <v>421</v>
      </c>
      <c r="C84" s="14" t="s">
        <v>101</v>
      </c>
      <c r="D84" s="103" t="s">
        <v>362</v>
      </c>
    </row>
    <row r="85" spans="1:4" ht="16.5">
      <c r="A85" t="s">
        <v>360</v>
      </c>
      <c r="B85" s="97" t="s">
        <v>422</v>
      </c>
      <c r="C85" s="14" t="s">
        <v>101</v>
      </c>
      <c r="D85" s="103" t="s">
        <v>362</v>
      </c>
    </row>
    <row r="86" spans="1:4" ht="16.5">
      <c r="A86" t="s">
        <v>360</v>
      </c>
      <c r="B86" s="97" t="s">
        <v>423</v>
      </c>
      <c r="C86" s="14" t="s">
        <v>101</v>
      </c>
      <c r="D86" s="103" t="s">
        <v>362</v>
      </c>
    </row>
    <row r="87" spans="1:4" ht="16.5">
      <c r="A87" t="s">
        <v>360</v>
      </c>
      <c r="B87" s="97" t="s">
        <v>424</v>
      </c>
      <c r="C87" s="14" t="s">
        <v>101</v>
      </c>
      <c r="D87" s="103" t="s">
        <v>362</v>
      </c>
    </row>
    <row r="88" spans="1:4" ht="16.5">
      <c r="A88" t="s">
        <v>360</v>
      </c>
      <c r="B88" s="97" t="s">
        <v>425</v>
      </c>
      <c r="C88" s="14" t="s">
        <v>101</v>
      </c>
      <c r="D88" s="103" t="s">
        <v>362</v>
      </c>
    </row>
    <row r="89" spans="1:4" ht="16.5">
      <c r="A89" t="s">
        <v>360</v>
      </c>
      <c r="B89" s="97" t="s">
        <v>426</v>
      </c>
      <c r="C89" s="14" t="s">
        <v>101</v>
      </c>
      <c r="D89" s="103" t="s">
        <v>362</v>
      </c>
    </row>
    <row r="90" spans="1:4" ht="16.5">
      <c r="A90" t="s">
        <v>360</v>
      </c>
      <c r="B90" s="97" t="s">
        <v>427</v>
      </c>
      <c r="C90" s="14" t="s">
        <v>101</v>
      </c>
      <c r="D90" s="103" t="s">
        <v>362</v>
      </c>
    </row>
    <row r="91" spans="1:4" ht="16.5">
      <c r="A91" t="s">
        <v>360</v>
      </c>
      <c r="B91" s="97" t="s">
        <v>428</v>
      </c>
      <c r="C91" s="14" t="s">
        <v>101</v>
      </c>
      <c r="D91" s="103" t="s">
        <v>362</v>
      </c>
    </row>
    <row r="92" spans="1:4" ht="16.5">
      <c r="A92" t="s">
        <v>360</v>
      </c>
      <c r="B92" s="97" t="s">
        <v>429</v>
      </c>
      <c r="C92" s="14" t="s">
        <v>101</v>
      </c>
      <c r="D92" s="103" t="s">
        <v>362</v>
      </c>
    </row>
    <row r="93" spans="1:4" ht="16.5">
      <c r="A93" t="s">
        <v>360</v>
      </c>
      <c r="B93" s="97" t="s">
        <v>430</v>
      </c>
      <c r="C93" s="14" t="s">
        <v>101</v>
      </c>
      <c r="D93" s="103" t="s">
        <v>362</v>
      </c>
    </row>
    <row r="94" spans="1:4" ht="16.5">
      <c r="A94" t="s">
        <v>360</v>
      </c>
      <c r="B94" s="97" t="s">
        <v>431</v>
      </c>
      <c r="C94" s="14" t="s">
        <v>101</v>
      </c>
      <c r="D94" s="103" t="s">
        <v>362</v>
      </c>
    </row>
    <row r="95" spans="1:4" ht="16.5">
      <c r="A95" t="s">
        <v>360</v>
      </c>
      <c r="B95" s="97" t="s">
        <v>432</v>
      </c>
      <c r="C95" s="14" t="s">
        <v>101</v>
      </c>
      <c r="D95" s="103" t="s">
        <v>362</v>
      </c>
    </row>
    <row r="96" spans="1:4" ht="16.5">
      <c r="A96" t="s">
        <v>360</v>
      </c>
      <c r="B96" s="97" t="s">
        <v>433</v>
      </c>
      <c r="C96" s="14" t="s">
        <v>101</v>
      </c>
      <c r="D96" s="103" t="s">
        <v>362</v>
      </c>
    </row>
    <row r="97" spans="1:4" ht="16.5">
      <c r="A97" t="s">
        <v>360</v>
      </c>
      <c r="B97" s="97" t="s">
        <v>434</v>
      </c>
      <c r="C97" s="14" t="s">
        <v>101</v>
      </c>
      <c r="D97" s="103" t="s">
        <v>362</v>
      </c>
    </row>
    <row r="98" spans="1:4" ht="16.5">
      <c r="A98" t="s">
        <v>360</v>
      </c>
      <c r="B98" s="97" t="s">
        <v>435</v>
      </c>
      <c r="C98" s="14" t="s">
        <v>101</v>
      </c>
      <c r="D98" s="103" t="s">
        <v>362</v>
      </c>
    </row>
    <row r="99" spans="1:4" ht="16.5">
      <c r="A99" t="s">
        <v>360</v>
      </c>
      <c r="B99" s="97" t="s">
        <v>436</v>
      </c>
      <c r="C99" s="14" t="s">
        <v>101</v>
      </c>
      <c r="D99" s="103" t="s">
        <v>362</v>
      </c>
    </row>
    <row r="100" spans="1:4" ht="16.5">
      <c r="A100" t="s">
        <v>360</v>
      </c>
      <c r="B100" s="97" t="s">
        <v>437</v>
      </c>
      <c r="C100" s="14" t="s">
        <v>101</v>
      </c>
      <c r="D100" s="103" t="s">
        <v>362</v>
      </c>
    </row>
    <row r="101" spans="1:4" ht="16.5">
      <c r="A101" t="s">
        <v>360</v>
      </c>
      <c r="B101" s="97" t="s">
        <v>438</v>
      </c>
      <c r="C101" s="14" t="s">
        <v>101</v>
      </c>
      <c r="D101" s="103" t="s">
        <v>362</v>
      </c>
    </row>
    <row r="102" spans="1:4" ht="16.5">
      <c r="A102" t="s">
        <v>360</v>
      </c>
      <c r="B102" s="97" t="s">
        <v>439</v>
      </c>
      <c r="C102" s="14" t="s">
        <v>101</v>
      </c>
      <c r="D102" s="103" t="s">
        <v>362</v>
      </c>
    </row>
    <row r="103" spans="1:4" ht="16.5">
      <c r="A103" t="s">
        <v>360</v>
      </c>
      <c r="B103" s="97" t="s">
        <v>440</v>
      </c>
      <c r="C103" s="14" t="s">
        <v>101</v>
      </c>
      <c r="D103" s="103" t="s">
        <v>362</v>
      </c>
    </row>
    <row r="104" spans="1:4" ht="16.5">
      <c r="A104" t="s">
        <v>360</v>
      </c>
      <c r="B104" s="97" t="s">
        <v>441</v>
      </c>
      <c r="C104" s="14" t="s">
        <v>101</v>
      </c>
      <c r="D104" s="103" t="s">
        <v>362</v>
      </c>
    </row>
    <row r="105" spans="1:4" ht="16.5">
      <c r="A105" t="s">
        <v>360</v>
      </c>
      <c r="B105" s="97" t="s">
        <v>442</v>
      </c>
      <c r="C105" s="14" t="s">
        <v>101</v>
      </c>
      <c r="D105" s="103" t="s">
        <v>362</v>
      </c>
    </row>
    <row r="106" spans="1:4" ht="16.5">
      <c r="A106" t="s">
        <v>360</v>
      </c>
      <c r="B106" s="97" t="s">
        <v>443</v>
      </c>
      <c r="C106" s="14" t="s">
        <v>101</v>
      </c>
      <c r="D106" s="103" t="s">
        <v>362</v>
      </c>
    </row>
    <row r="107" spans="1:4" ht="16.5">
      <c r="A107" t="s">
        <v>360</v>
      </c>
      <c r="B107" s="97" t="s">
        <v>444</v>
      </c>
      <c r="C107" s="14" t="s">
        <v>101</v>
      </c>
      <c r="D107" s="103" t="s">
        <v>362</v>
      </c>
    </row>
    <row r="108" spans="1:4" ht="16.5">
      <c r="A108" t="s">
        <v>360</v>
      </c>
      <c r="B108" s="97" t="s">
        <v>445</v>
      </c>
      <c r="C108" s="14" t="s">
        <v>101</v>
      </c>
      <c r="D108" s="103" t="s">
        <v>362</v>
      </c>
    </row>
    <row r="109" spans="1:4" ht="16.5">
      <c r="A109" t="s">
        <v>360</v>
      </c>
      <c r="B109" s="97" t="s">
        <v>446</v>
      </c>
      <c r="C109" s="14" t="s">
        <v>101</v>
      </c>
      <c r="D109" s="103" t="s">
        <v>362</v>
      </c>
    </row>
    <row r="110" spans="1:4" ht="16.5">
      <c r="A110" t="s">
        <v>360</v>
      </c>
      <c r="B110" s="97" t="s">
        <v>447</v>
      </c>
      <c r="C110" s="14" t="s">
        <v>101</v>
      </c>
      <c r="D110" s="103" t="s">
        <v>362</v>
      </c>
    </row>
    <row r="111" spans="1:4" ht="16.5">
      <c r="A111" t="s">
        <v>360</v>
      </c>
      <c r="B111" s="97" t="s">
        <v>448</v>
      </c>
      <c r="C111" s="14" t="s">
        <v>101</v>
      </c>
      <c r="D111" s="103" t="s">
        <v>362</v>
      </c>
    </row>
    <row r="112" spans="1:4" ht="16.5">
      <c r="A112" t="s">
        <v>360</v>
      </c>
      <c r="B112" s="97" t="s">
        <v>449</v>
      </c>
      <c r="C112" s="14" t="s">
        <v>101</v>
      </c>
      <c r="D112" s="103" t="s">
        <v>362</v>
      </c>
    </row>
    <row r="113" spans="1:4" ht="16.5">
      <c r="A113" t="s">
        <v>360</v>
      </c>
      <c r="B113" s="97" t="s">
        <v>450</v>
      </c>
      <c r="C113" s="14" t="s">
        <v>101</v>
      </c>
      <c r="D113" s="103" t="s">
        <v>362</v>
      </c>
    </row>
    <row r="114" spans="1:4" ht="16.5">
      <c r="A114" t="s">
        <v>360</v>
      </c>
      <c r="B114" s="97" t="s">
        <v>451</v>
      </c>
      <c r="C114" s="14" t="s">
        <v>101</v>
      </c>
      <c r="D114" s="103" t="s">
        <v>362</v>
      </c>
    </row>
    <row r="115" spans="1:4" ht="16.5">
      <c r="A115" t="s">
        <v>360</v>
      </c>
      <c r="B115" s="97" t="s">
        <v>452</v>
      </c>
      <c r="C115" s="14" t="s">
        <v>101</v>
      </c>
      <c r="D115" s="103" t="s">
        <v>362</v>
      </c>
    </row>
    <row r="116" spans="1:4" ht="16.5">
      <c r="A116" t="s">
        <v>360</v>
      </c>
      <c r="B116" s="97" t="s">
        <v>453</v>
      </c>
      <c r="C116" s="14" t="s">
        <v>101</v>
      </c>
      <c r="D116" s="103" t="s">
        <v>362</v>
      </c>
    </row>
    <row r="117" spans="1:4" ht="16.5">
      <c r="A117" t="s">
        <v>360</v>
      </c>
      <c r="B117" s="97" t="s">
        <v>454</v>
      </c>
      <c r="C117" s="14" t="s">
        <v>101</v>
      </c>
      <c r="D117" s="103" t="s">
        <v>362</v>
      </c>
    </row>
    <row r="118" spans="1:4" ht="16.5">
      <c r="A118" t="s">
        <v>360</v>
      </c>
      <c r="B118" s="97" t="s">
        <v>455</v>
      </c>
      <c r="C118" s="14" t="s">
        <v>101</v>
      </c>
      <c r="D118" s="103" t="s">
        <v>362</v>
      </c>
    </row>
    <row r="119" spans="1:4" ht="16.5">
      <c r="A119" t="s">
        <v>360</v>
      </c>
      <c r="B119" s="97" t="s">
        <v>456</v>
      </c>
      <c r="C119" s="14" t="s">
        <v>101</v>
      </c>
      <c r="D119" s="103" t="s">
        <v>362</v>
      </c>
    </row>
    <row r="120" spans="1:4" ht="16.5">
      <c r="A120" t="s">
        <v>360</v>
      </c>
      <c r="B120" s="97" t="s">
        <v>457</v>
      </c>
      <c r="C120" s="14" t="s">
        <v>101</v>
      </c>
      <c r="D120" s="103" t="s">
        <v>362</v>
      </c>
    </row>
    <row r="121" spans="1:4" ht="16.5">
      <c r="A121" t="s">
        <v>360</v>
      </c>
      <c r="B121" s="97" t="s">
        <v>458</v>
      </c>
      <c r="C121" s="14" t="s">
        <v>101</v>
      </c>
      <c r="D121" s="103" t="s">
        <v>362</v>
      </c>
    </row>
    <row r="122" spans="1:4" ht="16.5">
      <c r="A122" t="s">
        <v>360</v>
      </c>
      <c r="B122" s="97" t="s">
        <v>459</v>
      </c>
      <c r="C122" s="14" t="s">
        <v>101</v>
      </c>
      <c r="D122" s="103" t="s">
        <v>362</v>
      </c>
    </row>
    <row r="123" spans="1:4" ht="16.5">
      <c r="A123" t="s">
        <v>360</v>
      </c>
      <c r="B123" s="97" t="s">
        <v>460</v>
      </c>
      <c r="C123" s="14" t="s">
        <v>101</v>
      </c>
      <c r="D123" s="103" t="s">
        <v>362</v>
      </c>
    </row>
    <row r="124" spans="1:4" ht="16.5">
      <c r="A124" t="s">
        <v>360</v>
      </c>
      <c r="B124" s="97" t="s">
        <v>461</v>
      </c>
      <c r="C124" s="14" t="s">
        <v>101</v>
      </c>
      <c r="D124" s="103" t="s">
        <v>362</v>
      </c>
    </row>
    <row r="125" spans="1:4" ht="16.5">
      <c r="A125" t="s">
        <v>360</v>
      </c>
      <c r="B125" s="97" t="s">
        <v>462</v>
      </c>
      <c r="C125" s="14" t="s">
        <v>101</v>
      </c>
      <c r="D125" s="103" t="s">
        <v>362</v>
      </c>
    </row>
    <row r="126" spans="1:4" ht="16.5">
      <c r="A126" t="s">
        <v>360</v>
      </c>
      <c r="B126" s="97" t="s">
        <v>463</v>
      </c>
      <c r="C126" s="14" t="s">
        <v>101</v>
      </c>
      <c r="D126" s="103" t="s">
        <v>362</v>
      </c>
    </row>
    <row r="127" spans="1:4" ht="16.5">
      <c r="A127" t="s">
        <v>360</v>
      </c>
      <c r="B127" s="97" t="s">
        <v>464</v>
      </c>
      <c r="C127" s="14" t="s">
        <v>101</v>
      </c>
      <c r="D127" s="103" t="s">
        <v>362</v>
      </c>
    </row>
    <row r="128" spans="1:4" ht="16.5">
      <c r="A128" t="s">
        <v>360</v>
      </c>
      <c r="B128" s="97" t="s">
        <v>465</v>
      </c>
      <c r="C128" s="14" t="s">
        <v>101</v>
      </c>
      <c r="D128" s="103" t="s">
        <v>362</v>
      </c>
    </row>
    <row r="129" spans="1:4" ht="16.5">
      <c r="A129" t="s">
        <v>360</v>
      </c>
      <c r="B129" s="97" t="s">
        <v>466</v>
      </c>
      <c r="C129" s="14" t="s">
        <v>101</v>
      </c>
      <c r="D129" s="103" t="s">
        <v>362</v>
      </c>
    </row>
    <row r="130" spans="1:4" ht="16.5">
      <c r="A130" t="s">
        <v>360</v>
      </c>
      <c r="B130" s="97" t="s">
        <v>467</v>
      </c>
      <c r="C130" s="14" t="s">
        <v>101</v>
      </c>
      <c r="D130" s="103" t="s">
        <v>362</v>
      </c>
    </row>
    <row r="131" spans="1:4" ht="16.5">
      <c r="A131" t="s">
        <v>360</v>
      </c>
      <c r="B131" s="97" t="s">
        <v>468</v>
      </c>
      <c r="C131" s="14" t="s">
        <v>101</v>
      </c>
      <c r="D131" s="103" t="s">
        <v>362</v>
      </c>
    </row>
    <row r="132" spans="1:4" ht="16.5">
      <c r="A132" t="s">
        <v>360</v>
      </c>
      <c r="B132" s="97" t="s">
        <v>469</v>
      </c>
      <c r="C132" s="14" t="s">
        <v>101</v>
      </c>
      <c r="D132" s="103" t="s">
        <v>362</v>
      </c>
    </row>
    <row r="133" spans="1:4" ht="16.5">
      <c r="A133" t="s">
        <v>360</v>
      </c>
      <c r="B133" s="97" t="s">
        <v>470</v>
      </c>
      <c r="C133" s="14" t="s">
        <v>101</v>
      </c>
      <c r="D133" s="103" t="s">
        <v>362</v>
      </c>
    </row>
    <row r="134" spans="1:4" ht="16.5">
      <c r="A134" t="s">
        <v>360</v>
      </c>
      <c r="B134" s="97" t="s">
        <v>471</v>
      </c>
      <c r="C134" s="14" t="s">
        <v>101</v>
      </c>
      <c r="D134" s="103" t="s">
        <v>362</v>
      </c>
    </row>
    <row r="135" spans="1:4" ht="16.5">
      <c r="A135" t="s">
        <v>360</v>
      </c>
      <c r="B135" s="97" t="s">
        <v>472</v>
      </c>
      <c r="C135" s="14" t="s">
        <v>101</v>
      </c>
      <c r="D135" s="103" t="s">
        <v>362</v>
      </c>
    </row>
    <row r="136" spans="1:4" ht="16.5">
      <c r="A136" t="s">
        <v>360</v>
      </c>
      <c r="B136" s="97" t="s">
        <v>473</v>
      </c>
      <c r="C136" s="14" t="s">
        <v>101</v>
      </c>
      <c r="D136" s="103" t="s">
        <v>362</v>
      </c>
    </row>
    <row r="137" spans="1:4" ht="16.5">
      <c r="A137" t="s">
        <v>360</v>
      </c>
      <c r="B137" s="97" t="s">
        <v>474</v>
      </c>
      <c r="C137" s="14" t="s">
        <v>101</v>
      </c>
      <c r="D137" s="103" t="s">
        <v>362</v>
      </c>
    </row>
    <row r="138" spans="1:4" ht="16.5">
      <c r="A138" t="s">
        <v>360</v>
      </c>
      <c r="B138" s="97" t="s">
        <v>475</v>
      </c>
      <c r="C138" s="14" t="s">
        <v>101</v>
      </c>
      <c r="D138" s="103" t="s">
        <v>362</v>
      </c>
    </row>
    <row r="139" spans="1:4" ht="16.5">
      <c r="A139" t="s">
        <v>360</v>
      </c>
      <c r="B139" s="97" t="s">
        <v>476</v>
      </c>
      <c r="C139" s="14" t="s">
        <v>101</v>
      </c>
      <c r="D139" s="103" t="s">
        <v>362</v>
      </c>
    </row>
    <row r="140" spans="1:4" ht="16.5">
      <c r="A140" t="s">
        <v>360</v>
      </c>
      <c r="B140" s="97" t="s">
        <v>477</v>
      </c>
      <c r="C140" s="14" t="s">
        <v>101</v>
      </c>
      <c r="D140" s="103" t="s">
        <v>362</v>
      </c>
    </row>
    <row r="141" spans="1:4" ht="16.5">
      <c r="A141" t="s">
        <v>360</v>
      </c>
      <c r="B141" s="97" t="s">
        <v>478</v>
      </c>
      <c r="C141" s="14" t="s">
        <v>101</v>
      </c>
      <c r="D141" s="103" t="s">
        <v>362</v>
      </c>
    </row>
    <row r="142" spans="1:4" ht="16.5">
      <c r="A142" t="s">
        <v>360</v>
      </c>
      <c r="B142" s="97" t="s">
        <v>479</v>
      </c>
      <c r="C142" s="14" t="s">
        <v>101</v>
      </c>
      <c r="D142" s="103" t="s">
        <v>362</v>
      </c>
    </row>
    <row r="143" spans="1:4" ht="16.5">
      <c r="A143" t="s">
        <v>360</v>
      </c>
      <c r="B143" s="97" t="s">
        <v>480</v>
      </c>
      <c r="C143" s="14" t="s">
        <v>101</v>
      </c>
      <c r="D143" s="103" t="s">
        <v>362</v>
      </c>
    </row>
    <row r="144" spans="1:4" ht="16.5">
      <c r="A144" t="s">
        <v>360</v>
      </c>
      <c r="B144" s="97" t="s">
        <v>481</v>
      </c>
      <c r="C144" s="14" t="s">
        <v>101</v>
      </c>
      <c r="D144" s="103" t="s">
        <v>362</v>
      </c>
    </row>
    <row r="145" spans="1:4" ht="16.5">
      <c r="A145" t="s">
        <v>360</v>
      </c>
      <c r="B145" s="97" t="s">
        <v>482</v>
      </c>
      <c r="C145" s="14" t="s">
        <v>101</v>
      </c>
      <c r="D145" s="103" t="s">
        <v>362</v>
      </c>
    </row>
    <row r="146" spans="1:4" ht="16.5">
      <c r="A146" t="s">
        <v>360</v>
      </c>
      <c r="B146" s="97" t="s">
        <v>483</v>
      </c>
      <c r="C146" s="14" t="s">
        <v>101</v>
      </c>
      <c r="D146" s="103" t="s">
        <v>362</v>
      </c>
    </row>
    <row r="147" spans="1:4" ht="16.5">
      <c r="A147" t="s">
        <v>360</v>
      </c>
      <c r="B147" s="97" t="s">
        <v>484</v>
      </c>
      <c r="C147" s="14" t="s">
        <v>101</v>
      </c>
      <c r="D147" s="103" t="s">
        <v>362</v>
      </c>
    </row>
    <row r="148" spans="1:4" ht="16.5">
      <c r="A148" t="s">
        <v>360</v>
      </c>
      <c r="B148" s="97" t="s">
        <v>485</v>
      </c>
      <c r="C148" s="14" t="s">
        <v>101</v>
      </c>
      <c r="D148" s="103" t="s">
        <v>362</v>
      </c>
    </row>
    <row r="149" spans="1:4" ht="16.5">
      <c r="A149" t="s">
        <v>360</v>
      </c>
      <c r="B149" s="97" t="s">
        <v>486</v>
      </c>
      <c r="C149" s="14" t="s">
        <v>101</v>
      </c>
      <c r="D149" s="103" t="s">
        <v>362</v>
      </c>
    </row>
    <row r="150" spans="1:4" ht="16.5">
      <c r="A150" t="s">
        <v>360</v>
      </c>
      <c r="B150" s="97" t="s">
        <v>487</v>
      </c>
      <c r="C150" s="14" t="s">
        <v>101</v>
      </c>
      <c r="D150" s="103" t="s">
        <v>362</v>
      </c>
    </row>
    <row r="151" spans="1:4" ht="16.5">
      <c r="A151" t="s">
        <v>360</v>
      </c>
      <c r="B151" s="97" t="s">
        <v>488</v>
      </c>
      <c r="C151" s="14" t="s">
        <v>101</v>
      </c>
      <c r="D151" s="103" t="s">
        <v>362</v>
      </c>
    </row>
    <row r="152" spans="1:4" ht="16.5">
      <c r="A152" t="s">
        <v>360</v>
      </c>
      <c r="B152" s="97" t="s">
        <v>489</v>
      </c>
      <c r="C152" s="14" t="s">
        <v>101</v>
      </c>
      <c r="D152" s="103" t="s">
        <v>362</v>
      </c>
    </row>
    <row r="153" spans="1:4" ht="16.5">
      <c r="A153" t="s">
        <v>360</v>
      </c>
      <c r="B153" s="97" t="s">
        <v>490</v>
      </c>
      <c r="C153" s="14" t="s">
        <v>101</v>
      </c>
      <c r="D153" s="103" t="s">
        <v>362</v>
      </c>
    </row>
    <row r="154" spans="1:4" ht="16.5">
      <c r="A154" t="s">
        <v>360</v>
      </c>
      <c r="B154" s="97" t="s">
        <v>491</v>
      </c>
      <c r="C154" s="14" t="s">
        <v>101</v>
      </c>
      <c r="D154" s="103" t="s">
        <v>362</v>
      </c>
    </row>
    <row r="155" spans="1:4" ht="16.5">
      <c r="A155" t="s">
        <v>360</v>
      </c>
      <c r="B155" s="97" t="s">
        <v>492</v>
      </c>
      <c r="C155" s="14" t="s">
        <v>101</v>
      </c>
      <c r="D155" s="103" t="s">
        <v>362</v>
      </c>
    </row>
    <row r="156" spans="1:4" ht="16.5">
      <c r="A156" t="s">
        <v>360</v>
      </c>
      <c r="B156" s="97" t="s">
        <v>493</v>
      </c>
      <c r="C156" s="14" t="s">
        <v>101</v>
      </c>
      <c r="D156" s="103" t="s">
        <v>362</v>
      </c>
    </row>
    <row r="157" spans="1:4" ht="16.5">
      <c r="A157" t="s">
        <v>360</v>
      </c>
      <c r="B157" s="97" t="s">
        <v>494</v>
      </c>
      <c r="C157" s="14" t="s">
        <v>101</v>
      </c>
      <c r="D157" s="103" t="s">
        <v>362</v>
      </c>
    </row>
    <row r="158" spans="1:4" ht="16.5">
      <c r="A158" t="s">
        <v>360</v>
      </c>
      <c r="B158" s="97" t="s">
        <v>495</v>
      </c>
      <c r="C158" s="14" t="s">
        <v>101</v>
      </c>
      <c r="D158" s="103" t="s">
        <v>362</v>
      </c>
    </row>
    <row r="159" spans="1:4" ht="16.5">
      <c r="A159" t="s">
        <v>360</v>
      </c>
      <c r="B159" s="97" t="s">
        <v>496</v>
      </c>
      <c r="C159" s="14" t="s">
        <v>101</v>
      </c>
      <c r="D159" s="103" t="s">
        <v>362</v>
      </c>
    </row>
    <row r="160" spans="1:4" ht="16.5">
      <c r="A160" t="s">
        <v>360</v>
      </c>
      <c r="B160" s="97" t="s">
        <v>497</v>
      </c>
      <c r="C160" s="14" t="s">
        <v>101</v>
      </c>
      <c r="D160" s="103" t="s">
        <v>362</v>
      </c>
    </row>
    <row r="161" spans="1:4" ht="16.5">
      <c r="A161" t="s">
        <v>360</v>
      </c>
      <c r="B161" s="97" t="s">
        <v>498</v>
      </c>
      <c r="C161" s="14" t="s">
        <v>101</v>
      </c>
      <c r="D161" s="103" t="s">
        <v>362</v>
      </c>
    </row>
    <row r="162" spans="1:4" ht="16.5">
      <c r="A162" t="s">
        <v>360</v>
      </c>
      <c r="B162" s="97" t="s">
        <v>499</v>
      </c>
      <c r="C162" s="14" t="s">
        <v>101</v>
      </c>
      <c r="D162" s="103" t="s">
        <v>362</v>
      </c>
    </row>
    <row r="163" spans="1:4" ht="16.5">
      <c r="A163" t="s">
        <v>360</v>
      </c>
      <c r="B163" s="97" t="s">
        <v>500</v>
      </c>
      <c r="C163" s="14" t="s">
        <v>101</v>
      </c>
      <c r="D163" s="103" t="s">
        <v>362</v>
      </c>
    </row>
    <row r="164" spans="1:4" ht="16.5">
      <c r="A164" t="s">
        <v>360</v>
      </c>
      <c r="B164" s="97" t="s">
        <v>501</v>
      </c>
      <c r="C164" s="14" t="s">
        <v>101</v>
      </c>
      <c r="D164" s="103" t="s">
        <v>362</v>
      </c>
    </row>
    <row r="165" spans="1:4" ht="16.5">
      <c r="A165" t="s">
        <v>360</v>
      </c>
      <c r="B165" s="97" t="s">
        <v>502</v>
      </c>
      <c r="C165" s="14" t="s">
        <v>101</v>
      </c>
      <c r="D165" s="103" t="s">
        <v>362</v>
      </c>
    </row>
    <row r="166" spans="1:4" ht="16.5">
      <c r="A166" t="s">
        <v>360</v>
      </c>
      <c r="B166" s="97" t="s">
        <v>503</v>
      </c>
      <c r="C166" s="14" t="s">
        <v>101</v>
      </c>
      <c r="D166" s="103" t="s">
        <v>362</v>
      </c>
    </row>
    <row r="167" spans="1:4" ht="16.5">
      <c r="A167" t="s">
        <v>360</v>
      </c>
      <c r="B167" s="97" t="s">
        <v>504</v>
      </c>
      <c r="C167" s="14" t="s">
        <v>101</v>
      </c>
      <c r="D167" s="103" t="s">
        <v>362</v>
      </c>
    </row>
    <row r="168" spans="1:4" ht="16.5">
      <c r="A168" t="s">
        <v>360</v>
      </c>
      <c r="B168" s="97" t="s">
        <v>505</v>
      </c>
      <c r="C168" s="14" t="s">
        <v>101</v>
      </c>
      <c r="D168" s="103" t="s">
        <v>362</v>
      </c>
    </row>
    <row r="169" spans="1:4" ht="16.5">
      <c r="A169" t="s">
        <v>360</v>
      </c>
      <c r="B169" s="97" t="s">
        <v>506</v>
      </c>
      <c r="C169" s="14" t="s">
        <v>101</v>
      </c>
      <c r="D169" s="103" t="s">
        <v>362</v>
      </c>
    </row>
    <row r="170" spans="1:4" ht="16.5">
      <c r="A170" t="s">
        <v>360</v>
      </c>
      <c r="B170" s="97" t="s">
        <v>507</v>
      </c>
      <c r="C170" s="14" t="s">
        <v>101</v>
      </c>
      <c r="D170" s="103" t="s">
        <v>362</v>
      </c>
    </row>
    <row r="171" spans="1:4" ht="16.5">
      <c r="A171" t="s">
        <v>360</v>
      </c>
      <c r="B171" s="97" t="s">
        <v>508</v>
      </c>
      <c r="C171" s="14" t="s">
        <v>101</v>
      </c>
      <c r="D171" s="103" t="s">
        <v>362</v>
      </c>
    </row>
    <row r="172" spans="1:4" ht="16.5">
      <c r="A172" t="s">
        <v>360</v>
      </c>
      <c r="B172" s="97" t="s">
        <v>509</v>
      </c>
      <c r="C172" s="14" t="s">
        <v>101</v>
      </c>
      <c r="D172" s="103" t="s">
        <v>362</v>
      </c>
    </row>
    <row r="173" spans="1:4" ht="16.5">
      <c r="A173" t="s">
        <v>360</v>
      </c>
      <c r="B173" s="97" t="s">
        <v>510</v>
      </c>
      <c r="C173" s="14" t="s">
        <v>101</v>
      </c>
      <c r="D173" s="103" t="s">
        <v>362</v>
      </c>
    </row>
    <row r="174" spans="1:4" ht="16.5">
      <c r="A174" t="s">
        <v>360</v>
      </c>
      <c r="B174" s="97" t="s">
        <v>511</v>
      </c>
      <c r="C174" s="14" t="s">
        <v>101</v>
      </c>
      <c r="D174" s="103" t="s">
        <v>362</v>
      </c>
    </row>
    <row r="175" spans="1:4" ht="16.5">
      <c r="A175" t="s">
        <v>360</v>
      </c>
      <c r="B175" s="97" t="s">
        <v>512</v>
      </c>
      <c r="C175" s="14" t="s">
        <v>101</v>
      </c>
      <c r="D175" s="103" t="s">
        <v>362</v>
      </c>
    </row>
    <row r="176" spans="1:4" ht="16.5">
      <c r="A176" t="s">
        <v>360</v>
      </c>
      <c r="B176" s="97" t="s">
        <v>513</v>
      </c>
      <c r="C176" s="14" t="s">
        <v>101</v>
      </c>
      <c r="D176" s="103" t="s">
        <v>362</v>
      </c>
    </row>
    <row r="177" spans="1:5" ht="16.5">
      <c r="A177" t="s">
        <v>360</v>
      </c>
      <c r="B177" s="97" t="s">
        <v>514</v>
      </c>
      <c r="C177" s="14" t="s">
        <v>101</v>
      </c>
      <c r="D177" s="103" t="s">
        <v>362</v>
      </c>
    </row>
    <row r="178" spans="1:5" ht="16.5">
      <c r="A178" t="s">
        <v>360</v>
      </c>
      <c r="B178" s="97" t="s">
        <v>515</v>
      </c>
      <c r="C178" s="14" t="s">
        <v>101</v>
      </c>
      <c r="D178" s="103" t="s">
        <v>362</v>
      </c>
    </row>
    <row r="179" spans="1:5" ht="16.5">
      <c r="A179" t="s">
        <v>360</v>
      </c>
      <c r="B179" s="97" t="s">
        <v>516</v>
      </c>
      <c r="C179" s="14" t="s">
        <v>101</v>
      </c>
      <c r="D179" s="103" t="s">
        <v>362</v>
      </c>
      <c r="E179" s="33"/>
    </row>
    <row r="180" spans="1:5" ht="16.5">
      <c r="A180" t="s">
        <v>360</v>
      </c>
      <c r="B180" s="97" t="s">
        <v>517</v>
      </c>
      <c r="C180" s="14" t="s">
        <v>101</v>
      </c>
      <c r="D180" s="103" t="s">
        <v>362</v>
      </c>
    </row>
    <row r="181" spans="1:5" ht="16.5">
      <c r="A181" t="s">
        <v>360</v>
      </c>
      <c r="B181" s="97" t="s">
        <v>518</v>
      </c>
      <c r="C181" s="14" t="s">
        <v>101</v>
      </c>
      <c r="D181" s="103" t="s">
        <v>362</v>
      </c>
    </row>
    <row r="182" spans="1:5" ht="16.5">
      <c r="A182" t="s">
        <v>360</v>
      </c>
      <c r="B182" s="97" t="s">
        <v>519</v>
      </c>
      <c r="C182" s="14" t="s">
        <v>101</v>
      </c>
      <c r="D182" s="103" t="s">
        <v>362</v>
      </c>
    </row>
    <row r="183" spans="1:5" ht="16.5">
      <c r="A183" t="s">
        <v>360</v>
      </c>
      <c r="B183" s="97" t="s">
        <v>520</v>
      </c>
      <c r="C183" s="14" t="s">
        <v>101</v>
      </c>
      <c r="D183" s="103" t="s">
        <v>362</v>
      </c>
    </row>
    <row r="184" spans="1:5" ht="16.5">
      <c r="A184" t="s">
        <v>360</v>
      </c>
      <c r="B184" s="97" t="s">
        <v>521</v>
      </c>
      <c r="C184" s="14" t="s">
        <v>101</v>
      </c>
      <c r="D184" s="103" t="s">
        <v>362</v>
      </c>
    </row>
    <row r="185" spans="1:5" ht="16.5">
      <c r="A185" t="s">
        <v>360</v>
      </c>
      <c r="B185" s="97" t="s">
        <v>522</v>
      </c>
      <c r="C185" s="14" t="s">
        <v>101</v>
      </c>
      <c r="D185" s="103" t="s">
        <v>362</v>
      </c>
    </row>
    <row r="186" spans="1:5" ht="16.5">
      <c r="A186" t="s">
        <v>360</v>
      </c>
      <c r="B186" s="97" t="s">
        <v>523</v>
      </c>
      <c r="C186" s="14" t="s">
        <v>101</v>
      </c>
      <c r="D186" s="103" t="s">
        <v>362</v>
      </c>
    </row>
    <row r="187" spans="1:5" ht="16.5">
      <c r="A187" t="s">
        <v>360</v>
      </c>
      <c r="B187" s="97" t="s">
        <v>524</v>
      </c>
      <c r="C187" s="14" t="s">
        <v>101</v>
      </c>
      <c r="D187" s="103" t="s">
        <v>362</v>
      </c>
    </row>
    <row r="188" spans="1:5" ht="16.5">
      <c r="A188" t="s">
        <v>360</v>
      </c>
      <c r="B188" s="97" t="s">
        <v>525</v>
      </c>
      <c r="C188" s="14" t="s">
        <v>101</v>
      </c>
      <c r="D188" s="103" t="s">
        <v>362</v>
      </c>
    </row>
    <row r="189" spans="1:5" ht="16.5">
      <c r="A189" t="s">
        <v>360</v>
      </c>
      <c r="B189" s="97" t="s">
        <v>526</v>
      </c>
      <c r="C189" s="14" t="s">
        <v>101</v>
      </c>
      <c r="D189" s="103" t="s">
        <v>362</v>
      </c>
    </row>
    <row r="190" spans="1:5" ht="16.5">
      <c r="A190" t="s">
        <v>360</v>
      </c>
      <c r="B190" s="97" t="s">
        <v>527</v>
      </c>
      <c r="C190" s="14" t="s">
        <v>101</v>
      </c>
      <c r="D190" s="103" t="s">
        <v>362</v>
      </c>
    </row>
    <row r="191" spans="1:5" ht="16.5">
      <c r="A191" t="s">
        <v>360</v>
      </c>
      <c r="B191" s="97" t="s">
        <v>528</v>
      </c>
      <c r="C191" s="14" t="s">
        <v>101</v>
      </c>
      <c r="D191" s="103" t="s">
        <v>362</v>
      </c>
    </row>
    <row r="192" spans="1:5" ht="16.5">
      <c r="A192" t="s">
        <v>360</v>
      </c>
      <c r="B192" s="97" t="s">
        <v>529</v>
      </c>
      <c r="C192" s="14" t="s">
        <v>101</v>
      </c>
      <c r="D192" s="103" t="s">
        <v>362</v>
      </c>
    </row>
    <row r="193" spans="1:4" ht="16.5">
      <c r="A193" t="s">
        <v>360</v>
      </c>
      <c r="B193" s="97" t="s">
        <v>530</v>
      </c>
      <c r="C193" s="14" t="s">
        <v>101</v>
      </c>
      <c r="D193" s="103" t="s">
        <v>362</v>
      </c>
    </row>
    <row r="194" spans="1:4" ht="16.5">
      <c r="A194" t="s">
        <v>360</v>
      </c>
      <c r="B194" s="97" t="s">
        <v>531</v>
      </c>
      <c r="C194" s="14" t="s">
        <v>101</v>
      </c>
      <c r="D194" s="103" t="s">
        <v>362</v>
      </c>
    </row>
    <row r="195" spans="1:4" ht="16.5">
      <c r="A195" t="s">
        <v>360</v>
      </c>
      <c r="B195" s="97" t="s">
        <v>532</v>
      </c>
      <c r="C195" s="14" t="s">
        <v>101</v>
      </c>
      <c r="D195" s="103" t="s">
        <v>362</v>
      </c>
    </row>
    <row r="196" spans="1:4" ht="16.5">
      <c r="A196" t="s">
        <v>360</v>
      </c>
      <c r="B196" s="97" t="s">
        <v>533</v>
      </c>
      <c r="C196" s="14" t="s">
        <v>101</v>
      </c>
      <c r="D196" s="103" t="s">
        <v>362</v>
      </c>
    </row>
    <row r="197" spans="1:4" ht="16.5">
      <c r="A197" t="s">
        <v>360</v>
      </c>
      <c r="B197" s="97" t="s">
        <v>534</v>
      </c>
      <c r="C197" s="14" t="s">
        <v>101</v>
      </c>
      <c r="D197" s="103" t="s">
        <v>362</v>
      </c>
    </row>
    <row r="198" spans="1:4" ht="16.5">
      <c r="A198" t="s">
        <v>360</v>
      </c>
      <c r="B198" s="97" t="s">
        <v>535</v>
      </c>
      <c r="C198" s="14" t="s">
        <v>101</v>
      </c>
      <c r="D198" s="103" t="s">
        <v>362</v>
      </c>
    </row>
    <row r="199" spans="1:4" ht="16.5">
      <c r="A199" t="s">
        <v>360</v>
      </c>
      <c r="B199" s="97" t="s">
        <v>536</v>
      </c>
      <c r="C199" s="14" t="s">
        <v>101</v>
      </c>
      <c r="D199" s="103" t="s">
        <v>362</v>
      </c>
    </row>
    <row r="200" spans="1:4" ht="16.5">
      <c r="A200" t="s">
        <v>360</v>
      </c>
      <c r="B200" s="97" t="s">
        <v>537</v>
      </c>
      <c r="C200" s="14" t="s">
        <v>101</v>
      </c>
      <c r="D200" s="103" t="s">
        <v>362</v>
      </c>
    </row>
    <row r="201" spans="1:4" ht="16.5">
      <c r="A201" t="s">
        <v>360</v>
      </c>
      <c r="B201" s="97" t="s">
        <v>538</v>
      </c>
      <c r="C201" s="14" t="s">
        <v>101</v>
      </c>
      <c r="D201" s="103" t="s">
        <v>362</v>
      </c>
    </row>
    <row r="202" spans="1:4" ht="16.5">
      <c r="A202" t="s">
        <v>360</v>
      </c>
      <c r="B202" s="97" t="s">
        <v>539</v>
      </c>
      <c r="C202" s="14" t="s">
        <v>101</v>
      </c>
      <c r="D202" s="103" t="s">
        <v>362</v>
      </c>
    </row>
    <row r="203" spans="1:4" ht="16.5">
      <c r="A203" t="s">
        <v>360</v>
      </c>
      <c r="B203" s="97" t="s">
        <v>540</v>
      </c>
      <c r="C203" s="14" t="s">
        <v>101</v>
      </c>
      <c r="D203" s="103" t="s">
        <v>362</v>
      </c>
    </row>
    <row r="204" spans="1:4" ht="16.5">
      <c r="A204" t="s">
        <v>360</v>
      </c>
      <c r="B204" s="97" t="s">
        <v>541</v>
      </c>
      <c r="C204" s="14" t="s">
        <v>101</v>
      </c>
      <c r="D204" s="103" t="s">
        <v>362</v>
      </c>
    </row>
    <row r="205" spans="1:4" ht="16.5">
      <c r="A205" t="s">
        <v>360</v>
      </c>
      <c r="B205" s="97" t="s">
        <v>542</v>
      </c>
      <c r="C205" s="14" t="s">
        <v>101</v>
      </c>
      <c r="D205" s="103" t="s">
        <v>362</v>
      </c>
    </row>
    <row r="206" spans="1:4" ht="16.5">
      <c r="A206" t="s">
        <v>360</v>
      </c>
      <c r="B206" s="97" t="s">
        <v>543</v>
      </c>
      <c r="C206" s="14" t="s">
        <v>101</v>
      </c>
      <c r="D206" s="103" t="s">
        <v>362</v>
      </c>
    </row>
    <row r="207" spans="1:4" ht="16.5">
      <c r="A207" t="s">
        <v>360</v>
      </c>
      <c r="B207" s="97" t="s">
        <v>544</v>
      </c>
      <c r="C207" s="14" t="s">
        <v>101</v>
      </c>
      <c r="D207" s="103" t="s">
        <v>362</v>
      </c>
    </row>
    <row r="208" spans="1:4" ht="16.5">
      <c r="A208" t="s">
        <v>360</v>
      </c>
      <c r="B208" s="97" t="s">
        <v>545</v>
      </c>
      <c r="C208" s="14" t="s">
        <v>101</v>
      </c>
      <c r="D208" s="103" t="s">
        <v>362</v>
      </c>
    </row>
    <row r="209" spans="1:4" ht="16.5">
      <c r="A209" t="s">
        <v>360</v>
      </c>
      <c r="B209" s="97" t="s">
        <v>546</v>
      </c>
      <c r="C209" s="14" t="s">
        <v>101</v>
      </c>
      <c r="D209" s="103" t="s">
        <v>362</v>
      </c>
    </row>
    <row r="210" spans="1:4" ht="16.5">
      <c r="A210" t="s">
        <v>360</v>
      </c>
      <c r="B210" s="97" t="s">
        <v>547</v>
      </c>
      <c r="C210" s="14" t="s">
        <v>101</v>
      </c>
      <c r="D210" s="103" t="s">
        <v>362</v>
      </c>
    </row>
    <row r="211" spans="1:4" ht="16.5">
      <c r="A211" t="s">
        <v>360</v>
      </c>
      <c r="B211" s="97" t="s">
        <v>548</v>
      </c>
      <c r="C211" s="14" t="s">
        <v>101</v>
      </c>
      <c r="D211" s="103" t="s">
        <v>362</v>
      </c>
    </row>
    <row r="212" spans="1:4" ht="16.5">
      <c r="A212" t="s">
        <v>360</v>
      </c>
      <c r="B212" s="97" t="s">
        <v>549</v>
      </c>
      <c r="C212" s="14" t="s">
        <v>101</v>
      </c>
      <c r="D212" s="103" t="s">
        <v>362</v>
      </c>
    </row>
    <row r="213" spans="1:4" ht="16.5">
      <c r="A213" t="s">
        <v>360</v>
      </c>
      <c r="B213" s="97" t="s">
        <v>550</v>
      </c>
      <c r="C213" s="14" t="s">
        <v>101</v>
      </c>
      <c r="D213" s="103" t="s">
        <v>362</v>
      </c>
    </row>
    <row r="214" spans="1:4" ht="16.5">
      <c r="A214" t="s">
        <v>360</v>
      </c>
      <c r="B214" s="97" t="s">
        <v>551</v>
      </c>
      <c r="C214" s="14" t="s">
        <v>101</v>
      </c>
      <c r="D214" s="103" t="s">
        <v>362</v>
      </c>
    </row>
    <row r="215" spans="1:4" ht="16.5">
      <c r="A215" t="s">
        <v>360</v>
      </c>
      <c r="B215" s="97" t="s">
        <v>552</v>
      </c>
      <c r="C215" s="14" t="s">
        <v>101</v>
      </c>
      <c r="D215" s="103" t="s">
        <v>362</v>
      </c>
    </row>
    <row r="216" spans="1:4" ht="16.5">
      <c r="A216" t="s">
        <v>360</v>
      </c>
      <c r="B216" s="97" t="s">
        <v>553</v>
      </c>
      <c r="C216" s="14" t="s">
        <v>101</v>
      </c>
      <c r="D216" s="103" t="s">
        <v>362</v>
      </c>
    </row>
    <row r="217" spans="1:4" ht="16.5">
      <c r="A217" t="s">
        <v>360</v>
      </c>
      <c r="B217" s="97" t="s">
        <v>554</v>
      </c>
      <c r="C217" s="14" t="s">
        <v>101</v>
      </c>
      <c r="D217" s="103" t="s">
        <v>362</v>
      </c>
    </row>
    <row r="218" spans="1:4" ht="16.5">
      <c r="A218" t="s">
        <v>360</v>
      </c>
      <c r="B218" s="97" t="s">
        <v>555</v>
      </c>
      <c r="C218" s="14" t="s">
        <v>101</v>
      </c>
      <c r="D218" s="103" t="s">
        <v>362</v>
      </c>
    </row>
    <row r="219" spans="1:4">
      <c r="A219" s="16" t="s">
        <v>556</v>
      </c>
      <c r="C219" s="14" t="s">
        <v>165</v>
      </c>
      <c r="D219" s="103" t="s">
        <v>557</v>
      </c>
    </row>
    <row r="220" spans="1:4">
      <c r="A220" s="16" t="s">
        <v>556</v>
      </c>
      <c r="C220" s="14" t="s">
        <v>165</v>
      </c>
      <c r="D220" s="103" t="s">
        <v>558</v>
      </c>
    </row>
    <row r="221" spans="1:4">
      <c r="A221" s="16" t="s">
        <v>556</v>
      </c>
      <c r="C221" s="14" t="s">
        <v>165</v>
      </c>
      <c r="D221" s="103" t="s">
        <v>559</v>
      </c>
    </row>
    <row r="222" spans="1:4">
      <c r="A222" s="16" t="s">
        <v>556</v>
      </c>
      <c r="C222" s="14" t="s">
        <v>165</v>
      </c>
      <c r="D222" s="103" t="s">
        <v>560</v>
      </c>
    </row>
    <row r="223" spans="1:4">
      <c r="A223" s="16" t="s">
        <v>556</v>
      </c>
      <c r="C223" s="14" t="s">
        <v>165</v>
      </c>
      <c r="D223" s="103" t="s">
        <v>561</v>
      </c>
    </row>
    <row r="224" spans="1:4">
      <c r="A224" s="16" t="s">
        <v>556</v>
      </c>
      <c r="C224" s="14" t="s">
        <v>165</v>
      </c>
      <c r="D224" s="103" t="s">
        <v>562</v>
      </c>
    </row>
    <row r="225" spans="1:4">
      <c r="A225" s="16" t="s">
        <v>556</v>
      </c>
      <c r="C225" s="14" t="s">
        <v>165</v>
      </c>
      <c r="D225" s="103" t="s">
        <v>563</v>
      </c>
    </row>
    <row r="226" spans="1:4">
      <c r="A226" s="16" t="s">
        <v>556</v>
      </c>
      <c r="C226" s="14" t="s">
        <v>165</v>
      </c>
      <c r="D226" s="103" t="s">
        <v>564</v>
      </c>
    </row>
    <row r="227" spans="1:4">
      <c r="A227" s="16" t="s">
        <v>556</v>
      </c>
      <c r="C227" s="14" t="s">
        <v>165</v>
      </c>
      <c r="D227" s="103" t="s">
        <v>565</v>
      </c>
    </row>
    <row r="228" spans="1:4" ht="16.5">
      <c r="A228" t="s">
        <v>566</v>
      </c>
      <c r="C228" s="97"/>
      <c r="D228" s="103" t="s">
        <v>567</v>
      </c>
    </row>
    <row r="229" spans="1:4">
      <c r="A229" t="s">
        <v>566</v>
      </c>
      <c r="B229" t="s">
        <v>568</v>
      </c>
      <c r="C229" s="31" t="s">
        <v>227</v>
      </c>
      <c r="D229" s="103" t="s">
        <v>569</v>
      </c>
    </row>
    <row r="230" spans="1:4">
      <c r="A230" t="s">
        <v>566</v>
      </c>
      <c r="B230" t="s">
        <v>570</v>
      </c>
      <c r="C230" s="31" t="s">
        <v>227</v>
      </c>
      <c r="D230" s="103" t="s">
        <v>571</v>
      </c>
    </row>
    <row r="231" spans="1:4">
      <c r="A231" t="s">
        <v>566</v>
      </c>
      <c r="B231" t="s">
        <v>572</v>
      </c>
      <c r="C231" s="31" t="s">
        <v>227</v>
      </c>
      <c r="D231" s="103" t="s">
        <v>573</v>
      </c>
    </row>
    <row r="232" spans="1:4">
      <c r="A232" t="s">
        <v>566</v>
      </c>
      <c r="B232" t="s">
        <v>574</v>
      </c>
      <c r="C232" s="31" t="s">
        <v>227</v>
      </c>
      <c r="D232" s="103" t="s">
        <v>575</v>
      </c>
    </row>
    <row r="233" spans="1:4">
      <c r="A233" t="s">
        <v>566</v>
      </c>
      <c r="B233" t="s">
        <v>576</v>
      </c>
      <c r="C233" s="31" t="s">
        <v>227</v>
      </c>
      <c r="D233" s="103" t="s">
        <v>577</v>
      </c>
    </row>
    <row r="234" spans="1:4">
      <c r="A234" t="s">
        <v>566</v>
      </c>
      <c r="B234" t="s">
        <v>578</v>
      </c>
      <c r="C234" s="31" t="s">
        <v>227</v>
      </c>
      <c r="D234" s="103" t="s">
        <v>291</v>
      </c>
    </row>
    <row r="235" spans="1:4">
      <c r="A235" t="s">
        <v>566</v>
      </c>
      <c r="B235" t="s">
        <v>579</v>
      </c>
      <c r="C235" s="31" t="s">
        <v>227</v>
      </c>
      <c r="D235" s="103" t="s">
        <v>580</v>
      </c>
    </row>
    <row r="236" spans="1:4">
      <c r="A236" t="s">
        <v>566</v>
      </c>
      <c r="B236" t="s">
        <v>581</v>
      </c>
      <c r="C236" s="31" t="s">
        <v>227</v>
      </c>
      <c r="D236" s="103" t="s">
        <v>582</v>
      </c>
    </row>
    <row r="237" spans="1:4">
      <c r="A237" t="s">
        <v>566</v>
      </c>
      <c r="B237" t="s">
        <v>583</v>
      </c>
      <c r="C237" s="31" t="s">
        <v>227</v>
      </c>
      <c r="D237" s="103" t="s">
        <v>584</v>
      </c>
    </row>
    <row r="238" spans="1:4">
      <c r="A238" t="s">
        <v>566</v>
      </c>
      <c r="B238" t="s">
        <v>585</v>
      </c>
      <c r="C238" s="31" t="s">
        <v>227</v>
      </c>
      <c r="D238" s="103" t="s">
        <v>586</v>
      </c>
    </row>
    <row r="239" spans="1:4">
      <c r="A239" t="s">
        <v>566</v>
      </c>
      <c r="B239" t="s">
        <v>587</v>
      </c>
      <c r="C239" s="31" t="s">
        <v>227</v>
      </c>
      <c r="D239" s="103" t="s">
        <v>588</v>
      </c>
    </row>
    <row r="240" spans="1:4">
      <c r="A240" t="s">
        <v>566</v>
      </c>
      <c r="B240" t="s">
        <v>589</v>
      </c>
      <c r="C240" s="31" t="s">
        <v>227</v>
      </c>
      <c r="D240" s="103" t="s">
        <v>590</v>
      </c>
    </row>
    <row r="241" spans="1:4">
      <c r="A241" t="s">
        <v>566</v>
      </c>
      <c r="B241" t="s">
        <v>591</v>
      </c>
      <c r="C241" s="31" t="s">
        <v>227</v>
      </c>
      <c r="D241" s="103" t="s">
        <v>592</v>
      </c>
    </row>
    <row r="242" spans="1:4">
      <c r="A242" t="s">
        <v>566</v>
      </c>
      <c r="B242" t="s">
        <v>593</v>
      </c>
      <c r="C242" s="31" t="s">
        <v>227</v>
      </c>
      <c r="D242" s="103" t="s">
        <v>594</v>
      </c>
    </row>
    <row r="243" spans="1:4">
      <c r="A243" t="s">
        <v>566</v>
      </c>
      <c r="B243" t="s">
        <v>595</v>
      </c>
      <c r="C243" s="31" t="s">
        <v>227</v>
      </c>
      <c r="D243" s="103" t="s">
        <v>596</v>
      </c>
    </row>
    <row r="244" spans="1:4">
      <c r="A244" t="s">
        <v>566</v>
      </c>
      <c r="B244" t="s">
        <v>597</v>
      </c>
      <c r="C244" s="31" t="s">
        <v>227</v>
      </c>
      <c r="D244" s="103" t="s">
        <v>598</v>
      </c>
    </row>
    <row r="245" spans="1:4">
      <c r="A245" t="s">
        <v>566</v>
      </c>
      <c r="B245" t="s">
        <v>599</v>
      </c>
      <c r="C245" s="31" t="s">
        <v>227</v>
      </c>
      <c r="D245" s="103" t="s">
        <v>600</v>
      </c>
    </row>
    <row r="246" spans="1:4">
      <c r="A246" t="s">
        <v>566</v>
      </c>
      <c r="B246" t="s">
        <v>601</v>
      </c>
      <c r="C246" s="31" t="s">
        <v>227</v>
      </c>
      <c r="D246" s="103" t="s">
        <v>602</v>
      </c>
    </row>
    <row r="247" spans="1:4">
      <c r="A247" t="s">
        <v>566</v>
      </c>
      <c r="B247" t="s">
        <v>603</v>
      </c>
      <c r="C247" s="31" t="s">
        <v>227</v>
      </c>
      <c r="D247" s="103" t="s">
        <v>604</v>
      </c>
    </row>
    <row r="248" spans="1:4">
      <c r="A248" t="s">
        <v>566</v>
      </c>
      <c r="B248" t="s">
        <v>605</v>
      </c>
      <c r="C248" s="31" t="s">
        <v>227</v>
      </c>
      <c r="D248" s="103" t="s">
        <v>606</v>
      </c>
    </row>
    <row r="249" spans="1:4">
      <c r="A249" t="s">
        <v>566</v>
      </c>
      <c r="B249" t="s">
        <v>607</v>
      </c>
      <c r="C249" s="31" t="s">
        <v>227</v>
      </c>
      <c r="D249" s="103" t="s">
        <v>608</v>
      </c>
    </row>
    <row r="250" spans="1:4">
      <c r="A250" t="s">
        <v>566</v>
      </c>
      <c r="B250" t="s">
        <v>609</v>
      </c>
      <c r="C250" s="31" t="s">
        <v>227</v>
      </c>
      <c r="D250" s="103" t="s">
        <v>610</v>
      </c>
    </row>
    <row r="251" spans="1:4">
      <c r="A251" t="s">
        <v>566</v>
      </c>
      <c r="B251" t="s">
        <v>611</v>
      </c>
      <c r="C251" s="31" t="s">
        <v>227</v>
      </c>
      <c r="D251" s="103" t="s">
        <v>612</v>
      </c>
    </row>
    <row r="252" spans="1:4">
      <c r="A252" t="s">
        <v>566</v>
      </c>
      <c r="B252" t="s">
        <v>613</v>
      </c>
      <c r="C252" s="31" t="s">
        <v>227</v>
      </c>
      <c r="D252" s="103">
        <v>101</v>
      </c>
    </row>
    <row r="253" spans="1:4">
      <c r="A253" t="s">
        <v>566</v>
      </c>
      <c r="B253" t="s">
        <v>614</v>
      </c>
      <c r="C253" s="31" t="s">
        <v>227</v>
      </c>
      <c r="D253" s="103">
        <v>102</v>
      </c>
    </row>
    <row r="254" spans="1:4">
      <c r="A254" t="s">
        <v>566</v>
      </c>
      <c r="B254" t="s">
        <v>615</v>
      </c>
      <c r="C254" s="31" t="s">
        <v>227</v>
      </c>
      <c r="D254" s="103">
        <v>103</v>
      </c>
    </row>
    <row r="255" spans="1:4">
      <c r="A255" t="s">
        <v>566</v>
      </c>
      <c r="B255" t="s">
        <v>616</v>
      </c>
      <c r="C255" s="31" t="s">
        <v>227</v>
      </c>
      <c r="D255" s="103">
        <v>104</v>
      </c>
    </row>
    <row r="256" spans="1:4">
      <c r="A256" t="s">
        <v>566</v>
      </c>
      <c r="B256" t="s">
        <v>617</v>
      </c>
      <c r="C256" s="31" t="s">
        <v>227</v>
      </c>
      <c r="D256" s="103">
        <v>105</v>
      </c>
    </row>
    <row r="257" spans="1:4">
      <c r="A257" t="s">
        <v>566</v>
      </c>
      <c r="B257" t="s">
        <v>618</v>
      </c>
      <c r="C257" s="31" t="s">
        <v>227</v>
      </c>
      <c r="D257" s="103">
        <v>106</v>
      </c>
    </row>
    <row r="258" spans="1:4">
      <c r="A258" t="s">
        <v>566</v>
      </c>
      <c r="B258" t="s">
        <v>619</v>
      </c>
      <c r="C258" s="31" t="s">
        <v>227</v>
      </c>
      <c r="D258" s="103">
        <v>107</v>
      </c>
    </row>
    <row r="259" spans="1:4">
      <c r="A259" t="s">
        <v>566</v>
      </c>
      <c r="B259" t="s">
        <v>620</v>
      </c>
      <c r="C259" s="31" t="s">
        <v>227</v>
      </c>
      <c r="D259" s="103">
        <v>108</v>
      </c>
    </row>
    <row r="260" spans="1:4">
      <c r="A260" t="s">
        <v>566</v>
      </c>
      <c r="B260" t="s">
        <v>621</v>
      </c>
      <c r="C260" s="31" t="s">
        <v>227</v>
      </c>
      <c r="D260" s="103">
        <v>109</v>
      </c>
    </row>
    <row r="261" spans="1:4">
      <c r="A261" t="s">
        <v>566</v>
      </c>
      <c r="B261" t="s">
        <v>622</v>
      </c>
      <c r="C261" s="31" t="s">
        <v>227</v>
      </c>
      <c r="D261" s="103">
        <v>110</v>
      </c>
    </row>
    <row r="262" spans="1:4">
      <c r="A262" t="s">
        <v>566</v>
      </c>
      <c r="B262" t="s">
        <v>623</v>
      </c>
      <c r="C262" s="31" t="s">
        <v>227</v>
      </c>
      <c r="D262" s="103">
        <v>120</v>
      </c>
    </row>
    <row r="263" spans="1:4">
      <c r="A263" t="s">
        <v>566</v>
      </c>
      <c r="B263" t="s">
        <v>624</v>
      </c>
      <c r="C263" s="31" t="s">
        <v>227</v>
      </c>
      <c r="D263" s="103">
        <v>131</v>
      </c>
    </row>
    <row r="264" spans="1:4">
      <c r="A264" t="s">
        <v>566</v>
      </c>
      <c r="B264" t="s">
        <v>625</v>
      </c>
      <c r="C264" s="31" t="s">
        <v>227</v>
      </c>
      <c r="D264" s="103">
        <v>132</v>
      </c>
    </row>
    <row r="265" spans="1:4">
      <c r="A265" t="s">
        <v>566</v>
      </c>
      <c r="B265" t="s">
        <v>626</v>
      </c>
      <c r="C265" s="31" t="s">
        <v>227</v>
      </c>
      <c r="D265" s="103">
        <v>133</v>
      </c>
    </row>
    <row r="266" spans="1:4">
      <c r="A266" t="s">
        <v>566</v>
      </c>
      <c r="B266" t="s">
        <v>627</v>
      </c>
      <c r="C266" s="31" t="s">
        <v>227</v>
      </c>
      <c r="D266" s="103">
        <v>139</v>
      </c>
    </row>
    <row r="267" spans="1:4">
      <c r="A267" t="s">
        <v>566</v>
      </c>
      <c r="B267" t="s">
        <v>628</v>
      </c>
      <c r="C267" s="31" t="s">
        <v>227</v>
      </c>
      <c r="D267" s="103">
        <v>141</v>
      </c>
    </row>
    <row r="268" spans="1:4">
      <c r="A268" t="s">
        <v>566</v>
      </c>
      <c r="B268" t="s">
        <v>629</v>
      </c>
      <c r="C268" s="31" t="s">
        <v>227</v>
      </c>
      <c r="D268" s="103">
        <v>142</v>
      </c>
    </row>
    <row r="269" spans="1:4">
      <c r="A269" t="s">
        <v>566</v>
      </c>
      <c r="B269" t="s">
        <v>630</v>
      </c>
      <c r="C269" s="31" t="s">
        <v>227</v>
      </c>
      <c r="D269" s="103">
        <v>151</v>
      </c>
    </row>
    <row r="270" spans="1:4">
      <c r="A270" t="s">
        <v>566</v>
      </c>
      <c r="B270" t="s">
        <v>631</v>
      </c>
      <c r="C270" s="31" t="s">
        <v>227</v>
      </c>
      <c r="D270" s="103">
        <v>152</v>
      </c>
    </row>
    <row r="271" spans="1:4">
      <c r="A271" t="s">
        <v>566</v>
      </c>
      <c r="B271" t="s">
        <v>632</v>
      </c>
      <c r="C271" s="31" t="s">
        <v>227</v>
      </c>
      <c r="D271" s="103">
        <v>161</v>
      </c>
    </row>
    <row r="272" spans="1:4">
      <c r="A272" t="s">
        <v>566</v>
      </c>
      <c r="B272" t="s">
        <v>633</v>
      </c>
      <c r="C272" s="31" t="s">
        <v>227</v>
      </c>
      <c r="D272" s="103">
        <v>162</v>
      </c>
    </row>
    <row r="273" spans="1:4">
      <c r="A273" t="s">
        <v>566</v>
      </c>
      <c r="B273" t="s">
        <v>634</v>
      </c>
      <c r="C273" s="31" t="s">
        <v>227</v>
      </c>
      <c r="D273" s="103">
        <v>171</v>
      </c>
    </row>
    <row r="274" spans="1:4">
      <c r="A274" t="s">
        <v>566</v>
      </c>
      <c r="B274" t="s">
        <v>635</v>
      </c>
      <c r="C274" s="31" t="s">
        <v>227</v>
      </c>
      <c r="D274" s="103">
        <v>172</v>
      </c>
    </row>
    <row r="275" spans="1:4">
      <c r="A275" t="s">
        <v>566</v>
      </c>
      <c r="B275" t="s">
        <v>636</v>
      </c>
      <c r="C275" s="31" t="s">
        <v>227</v>
      </c>
      <c r="D275" s="103">
        <v>181</v>
      </c>
    </row>
    <row r="276" spans="1:4">
      <c r="A276" t="s">
        <v>566</v>
      </c>
      <c r="B276" t="s">
        <v>637</v>
      </c>
      <c r="C276" s="31" t="s">
        <v>227</v>
      </c>
      <c r="D276" s="103">
        <v>182</v>
      </c>
    </row>
    <row r="277" spans="1:4">
      <c r="A277" t="s">
        <v>566</v>
      </c>
      <c r="B277" t="s">
        <v>638</v>
      </c>
      <c r="C277" s="31" t="s">
        <v>227</v>
      </c>
      <c r="D277" s="103">
        <v>191</v>
      </c>
    </row>
    <row r="278" spans="1:4">
      <c r="A278" t="s">
        <v>566</v>
      </c>
      <c r="B278" t="s">
        <v>639</v>
      </c>
      <c r="C278" s="31" t="s">
        <v>227</v>
      </c>
      <c r="D278" s="103">
        <v>192</v>
      </c>
    </row>
    <row r="279" spans="1:4">
      <c r="A279" t="s">
        <v>566</v>
      </c>
      <c r="B279" t="s">
        <v>640</v>
      </c>
      <c r="C279" s="31" t="s">
        <v>227</v>
      </c>
      <c r="D279" s="103">
        <v>201</v>
      </c>
    </row>
    <row r="280" spans="1:4">
      <c r="A280" t="s">
        <v>566</v>
      </c>
      <c r="B280" t="s">
        <v>641</v>
      </c>
      <c r="C280" s="31" t="s">
        <v>227</v>
      </c>
      <c r="D280" s="103">
        <v>202</v>
      </c>
    </row>
    <row r="281" spans="1:4">
      <c r="A281" t="s">
        <v>566</v>
      </c>
      <c r="B281" t="s">
        <v>642</v>
      </c>
      <c r="C281" s="31" t="s">
        <v>227</v>
      </c>
      <c r="D281" s="103">
        <v>203</v>
      </c>
    </row>
    <row r="282" spans="1:4">
      <c r="A282" t="s">
        <v>566</v>
      </c>
      <c r="B282" t="s">
        <v>643</v>
      </c>
      <c r="C282" s="31" t="s">
        <v>227</v>
      </c>
      <c r="D282" s="103">
        <v>204</v>
      </c>
    </row>
    <row r="283" spans="1:4">
      <c r="A283" t="s">
        <v>566</v>
      </c>
      <c r="B283" t="s">
        <v>644</v>
      </c>
      <c r="C283" s="31" t="s">
        <v>227</v>
      </c>
      <c r="D283" s="103">
        <v>205</v>
      </c>
    </row>
    <row r="284" spans="1:4">
      <c r="A284" t="s">
        <v>566</v>
      </c>
      <c r="B284" t="s">
        <v>645</v>
      </c>
      <c r="C284" s="31" t="s">
        <v>227</v>
      </c>
      <c r="D284" s="103">
        <v>206</v>
      </c>
    </row>
    <row r="285" spans="1:4">
      <c r="A285" t="s">
        <v>566</v>
      </c>
      <c r="B285" t="s">
        <v>646</v>
      </c>
      <c r="C285" s="31" t="s">
        <v>227</v>
      </c>
      <c r="D285" s="103">
        <v>211</v>
      </c>
    </row>
    <row r="286" spans="1:4">
      <c r="A286" t="s">
        <v>566</v>
      </c>
      <c r="B286" t="s">
        <v>647</v>
      </c>
      <c r="C286" s="31" t="s">
        <v>227</v>
      </c>
      <c r="D286" s="103">
        <v>212</v>
      </c>
    </row>
    <row r="287" spans="1:4">
      <c r="A287" t="s">
        <v>566</v>
      </c>
      <c r="B287" t="s">
        <v>648</v>
      </c>
      <c r="C287" s="31" t="s">
        <v>227</v>
      </c>
      <c r="D287" s="103">
        <v>221</v>
      </c>
    </row>
    <row r="288" spans="1:4">
      <c r="A288" t="s">
        <v>566</v>
      </c>
      <c r="B288" t="s">
        <v>649</v>
      </c>
      <c r="C288" s="31" t="s">
        <v>227</v>
      </c>
      <c r="D288" s="103">
        <v>222</v>
      </c>
    </row>
    <row r="289" spans="1:4">
      <c r="A289" t="s">
        <v>566</v>
      </c>
      <c r="B289" t="s">
        <v>650</v>
      </c>
      <c r="C289" s="31" t="s">
        <v>227</v>
      </c>
      <c r="D289" s="103">
        <v>231</v>
      </c>
    </row>
    <row r="290" spans="1:4">
      <c r="A290" t="s">
        <v>566</v>
      </c>
      <c r="B290" t="s">
        <v>651</v>
      </c>
      <c r="C290" s="31" t="s">
        <v>227</v>
      </c>
      <c r="D290" s="103">
        <v>232</v>
      </c>
    </row>
    <row r="291" spans="1:4">
      <c r="A291" t="s">
        <v>566</v>
      </c>
      <c r="B291" t="s">
        <v>652</v>
      </c>
      <c r="C291" s="31" t="s">
        <v>227</v>
      </c>
      <c r="D291" s="103">
        <v>233</v>
      </c>
    </row>
    <row r="292" spans="1:4">
      <c r="A292" t="s">
        <v>566</v>
      </c>
      <c r="B292" t="s">
        <v>653</v>
      </c>
      <c r="C292" s="31" t="s">
        <v>227</v>
      </c>
      <c r="D292" s="103">
        <v>234</v>
      </c>
    </row>
    <row r="293" spans="1:4">
      <c r="A293" t="s">
        <v>566</v>
      </c>
      <c r="B293" t="s">
        <v>654</v>
      </c>
      <c r="C293" s="31" t="s">
        <v>227</v>
      </c>
      <c r="D293" s="103">
        <v>235</v>
      </c>
    </row>
    <row r="294" spans="1:4">
      <c r="A294" t="s">
        <v>566</v>
      </c>
      <c r="B294" t="s">
        <v>655</v>
      </c>
      <c r="C294" s="31" t="s">
        <v>227</v>
      </c>
      <c r="D294" s="103">
        <v>236</v>
      </c>
    </row>
    <row r="295" spans="1:4">
      <c r="A295" t="s">
        <v>566</v>
      </c>
      <c r="B295" t="s">
        <v>656</v>
      </c>
      <c r="C295" s="31" t="s">
        <v>227</v>
      </c>
      <c r="D295" s="103">
        <v>237</v>
      </c>
    </row>
    <row r="296" spans="1:4">
      <c r="A296" t="s">
        <v>566</v>
      </c>
      <c r="B296" t="s">
        <v>657</v>
      </c>
      <c r="C296" s="31" t="s">
        <v>227</v>
      </c>
      <c r="D296" s="103">
        <v>239</v>
      </c>
    </row>
    <row r="297" spans="1:4">
      <c r="A297" t="s">
        <v>566</v>
      </c>
      <c r="B297" t="s">
        <v>658</v>
      </c>
      <c r="C297" s="31" t="s">
        <v>227</v>
      </c>
      <c r="D297" s="103">
        <v>241</v>
      </c>
    </row>
    <row r="298" spans="1:4">
      <c r="A298" t="s">
        <v>566</v>
      </c>
      <c r="B298" t="s">
        <v>659</v>
      </c>
      <c r="C298" s="31" t="s">
        <v>227</v>
      </c>
      <c r="D298" s="103">
        <v>242</v>
      </c>
    </row>
    <row r="299" spans="1:4">
      <c r="A299" t="s">
        <v>566</v>
      </c>
      <c r="B299" t="s">
        <v>660</v>
      </c>
      <c r="C299" s="31" t="s">
        <v>227</v>
      </c>
      <c r="D299" s="103">
        <v>243</v>
      </c>
    </row>
    <row r="300" spans="1:4">
      <c r="A300" t="s">
        <v>566</v>
      </c>
      <c r="B300" t="s">
        <v>661</v>
      </c>
      <c r="C300" s="31" t="s">
        <v>227</v>
      </c>
      <c r="D300" s="103">
        <v>244</v>
      </c>
    </row>
    <row r="301" spans="1:4">
      <c r="A301" t="s">
        <v>566</v>
      </c>
      <c r="B301" t="s">
        <v>662</v>
      </c>
      <c r="C301" s="31" t="s">
        <v>227</v>
      </c>
      <c r="D301" s="103">
        <v>245</v>
      </c>
    </row>
    <row r="302" spans="1:4">
      <c r="A302" t="s">
        <v>566</v>
      </c>
      <c r="B302" t="s">
        <v>663</v>
      </c>
      <c r="C302" s="31" t="s">
        <v>227</v>
      </c>
      <c r="D302" s="103">
        <v>251</v>
      </c>
    </row>
    <row r="303" spans="1:4">
      <c r="A303" t="s">
        <v>566</v>
      </c>
      <c r="B303" t="s">
        <v>664</v>
      </c>
      <c r="C303" s="31" t="s">
        <v>227</v>
      </c>
      <c r="D303" s="103">
        <v>252</v>
      </c>
    </row>
    <row r="304" spans="1:4">
      <c r="A304" t="s">
        <v>566</v>
      </c>
      <c r="B304" t="s">
        <v>665</v>
      </c>
      <c r="C304" s="31" t="s">
        <v>227</v>
      </c>
      <c r="D304" s="103">
        <v>253</v>
      </c>
    </row>
    <row r="305" spans="1:4">
      <c r="A305" t="s">
        <v>566</v>
      </c>
      <c r="B305" t="s">
        <v>666</v>
      </c>
      <c r="C305" s="31" t="s">
        <v>227</v>
      </c>
      <c r="D305" s="103">
        <v>254</v>
      </c>
    </row>
    <row r="306" spans="1:4">
      <c r="A306" t="s">
        <v>566</v>
      </c>
      <c r="B306" t="s">
        <v>667</v>
      </c>
      <c r="C306" s="31" t="s">
        <v>227</v>
      </c>
      <c r="D306" s="103">
        <v>255</v>
      </c>
    </row>
    <row r="307" spans="1:4">
      <c r="A307" t="s">
        <v>566</v>
      </c>
      <c r="B307" t="s">
        <v>668</v>
      </c>
      <c r="C307" s="31" t="s">
        <v>227</v>
      </c>
      <c r="D307" s="103">
        <v>256</v>
      </c>
    </row>
    <row r="308" spans="1:4">
      <c r="A308" t="s">
        <v>566</v>
      </c>
      <c r="B308" t="s">
        <v>669</v>
      </c>
      <c r="C308" s="31" t="s">
        <v>227</v>
      </c>
      <c r="D308" s="103">
        <v>259</v>
      </c>
    </row>
    <row r="309" spans="1:4">
      <c r="A309" t="s">
        <v>566</v>
      </c>
      <c r="B309" t="s">
        <v>670</v>
      </c>
      <c r="C309" s="31" t="s">
        <v>227</v>
      </c>
      <c r="D309" s="103">
        <v>261</v>
      </c>
    </row>
    <row r="310" spans="1:4">
      <c r="A310" t="s">
        <v>566</v>
      </c>
      <c r="B310" t="s">
        <v>671</v>
      </c>
      <c r="C310" s="31" t="s">
        <v>227</v>
      </c>
      <c r="D310" s="103">
        <v>262</v>
      </c>
    </row>
    <row r="311" spans="1:4">
      <c r="A311" t="s">
        <v>566</v>
      </c>
      <c r="B311" t="s">
        <v>672</v>
      </c>
      <c r="C311" s="31" t="s">
        <v>227</v>
      </c>
      <c r="D311" s="103">
        <v>263</v>
      </c>
    </row>
    <row r="312" spans="1:4">
      <c r="A312" t="s">
        <v>566</v>
      </c>
      <c r="B312" t="s">
        <v>673</v>
      </c>
      <c r="C312" s="31" t="s">
        <v>227</v>
      </c>
      <c r="D312" s="103">
        <v>264</v>
      </c>
    </row>
    <row r="313" spans="1:4">
      <c r="A313" t="s">
        <v>566</v>
      </c>
      <c r="B313" t="s">
        <v>674</v>
      </c>
      <c r="C313" s="31" t="s">
        <v>227</v>
      </c>
      <c r="D313" s="103">
        <v>265</v>
      </c>
    </row>
    <row r="314" spans="1:4">
      <c r="A314" t="s">
        <v>566</v>
      </c>
      <c r="B314" t="s">
        <v>675</v>
      </c>
      <c r="C314" s="31" t="s">
        <v>227</v>
      </c>
      <c r="D314" s="103">
        <v>266</v>
      </c>
    </row>
    <row r="315" spans="1:4">
      <c r="A315" t="s">
        <v>566</v>
      </c>
      <c r="B315" t="s">
        <v>676</v>
      </c>
      <c r="C315" s="31" t="s">
        <v>227</v>
      </c>
      <c r="D315" s="103">
        <v>267</v>
      </c>
    </row>
    <row r="316" spans="1:4">
      <c r="A316" t="s">
        <v>566</v>
      </c>
      <c r="B316" t="s">
        <v>677</v>
      </c>
      <c r="C316" s="31" t="s">
        <v>227</v>
      </c>
      <c r="D316" s="103">
        <v>271</v>
      </c>
    </row>
    <row r="317" spans="1:4">
      <c r="A317" t="s">
        <v>566</v>
      </c>
      <c r="B317" t="s">
        <v>678</v>
      </c>
      <c r="C317" s="31" t="s">
        <v>227</v>
      </c>
      <c r="D317" s="103">
        <v>272</v>
      </c>
    </row>
    <row r="318" spans="1:4">
      <c r="A318" t="s">
        <v>566</v>
      </c>
      <c r="B318" t="s">
        <v>679</v>
      </c>
      <c r="C318" s="31" t="s">
        <v>227</v>
      </c>
      <c r="D318" s="103">
        <v>273</v>
      </c>
    </row>
    <row r="319" spans="1:4">
      <c r="A319" t="s">
        <v>566</v>
      </c>
      <c r="B319" t="s">
        <v>680</v>
      </c>
      <c r="C319" s="31" t="s">
        <v>227</v>
      </c>
      <c r="D319" s="103">
        <v>274</v>
      </c>
    </row>
    <row r="320" spans="1:4">
      <c r="A320" t="s">
        <v>566</v>
      </c>
      <c r="B320" t="s">
        <v>681</v>
      </c>
      <c r="C320" s="31" t="s">
        <v>227</v>
      </c>
      <c r="D320" s="103">
        <v>275</v>
      </c>
    </row>
    <row r="321" spans="1:4">
      <c r="A321" t="s">
        <v>566</v>
      </c>
      <c r="B321" t="s">
        <v>682</v>
      </c>
      <c r="C321" s="31" t="s">
        <v>227</v>
      </c>
      <c r="D321" s="103">
        <v>279</v>
      </c>
    </row>
    <row r="322" spans="1:4">
      <c r="A322" t="s">
        <v>566</v>
      </c>
      <c r="B322" t="s">
        <v>683</v>
      </c>
      <c r="C322" s="31" t="s">
        <v>227</v>
      </c>
      <c r="D322" s="103">
        <v>281</v>
      </c>
    </row>
    <row r="323" spans="1:4">
      <c r="A323" t="s">
        <v>566</v>
      </c>
      <c r="B323" t="s">
        <v>684</v>
      </c>
      <c r="C323" s="31" t="s">
        <v>227</v>
      </c>
      <c r="D323" s="103">
        <v>282</v>
      </c>
    </row>
    <row r="324" spans="1:4">
      <c r="A324" t="s">
        <v>566</v>
      </c>
      <c r="B324" t="s">
        <v>685</v>
      </c>
      <c r="C324" s="31" t="s">
        <v>227</v>
      </c>
      <c r="D324" s="103">
        <v>283</v>
      </c>
    </row>
    <row r="325" spans="1:4">
      <c r="A325" t="s">
        <v>566</v>
      </c>
      <c r="B325" t="s">
        <v>686</v>
      </c>
      <c r="C325" s="31" t="s">
        <v>227</v>
      </c>
      <c r="D325" s="103">
        <v>284</v>
      </c>
    </row>
    <row r="326" spans="1:4">
      <c r="A326" t="s">
        <v>566</v>
      </c>
      <c r="B326" t="s">
        <v>687</v>
      </c>
      <c r="C326" s="31" t="s">
        <v>227</v>
      </c>
      <c r="D326" s="103">
        <v>289</v>
      </c>
    </row>
    <row r="327" spans="1:4">
      <c r="A327" t="s">
        <v>566</v>
      </c>
      <c r="B327" t="s">
        <v>688</v>
      </c>
      <c r="C327" s="31" t="s">
        <v>227</v>
      </c>
      <c r="D327" s="103">
        <v>291</v>
      </c>
    </row>
    <row r="328" spans="1:4">
      <c r="A328" t="s">
        <v>566</v>
      </c>
      <c r="B328" t="s">
        <v>689</v>
      </c>
      <c r="C328" s="31" t="s">
        <v>227</v>
      </c>
      <c r="D328" s="103">
        <v>292</v>
      </c>
    </row>
    <row r="329" spans="1:4">
      <c r="A329" t="s">
        <v>566</v>
      </c>
      <c r="B329" t="s">
        <v>690</v>
      </c>
      <c r="C329" s="31" t="s">
        <v>227</v>
      </c>
      <c r="D329" s="103">
        <v>293</v>
      </c>
    </row>
    <row r="330" spans="1:4">
      <c r="A330" t="s">
        <v>566</v>
      </c>
      <c r="B330" t="s">
        <v>691</v>
      </c>
      <c r="C330" s="31" t="s">
        <v>227</v>
      </c>
      <c r="D330" s="103">
        <v>301</v>
      </c>
    </row>
    <row r="331" spans="1:4">
      <c r="A331" t="s">
        <v>566</v>
      </c>
      <c r="B331" t="s">
        <v>692</v>
      </c>
      <c r="C331" s="31" t="s">
        <v>227</v>
      </c>
      <c r="D331" s="103">
        <v>302</v>
      </c>
    </row>
    <row r="332" spans="1:4">
      <c r="A332" t="s">
        <v>566</v>
      </c>
      <c r="B332" t="s">
        <v>693</v>
      </c>
      <c r="C332" s="31" t="s">
        <v>227</v>
      </c>
      <c r="D332" s="103">
        <v>303</v>
      </c>
    </row>
    <row r="333" spans="1:4">
      <c r="A333" t="s">
        <v>566</v>
      </c>
      <c r="B333" t="s">
        <v>694</v>
      </c>
      <c r="C333" s="31" t="s">
        <v>227</v>
      </c>
      <c r="D333" s="103">
        <v>304</v>
      </c>
    </row>
    <row r="334" spans="1:4">
      <c r="A334" t="s">
        <v>566</v>
      </c>
      <c r="B334" t="s">
        <v>695</v>
      </c>
      <c r="C334" s="31" t="s">
        <v>227</v>
      </c>
      <c r="D334" s="103">
        <v>309</v>
      </c>
    </row>
    <row r="335" spans="1:4">
      <c r="A335" t="s">
        <v>566</v>
      </c>
      <c r="B335" t="s">
        <v>696</v>
      </c>
      <c r="C335" s="31" t="s">
        <v>227</v>
      </c>
      <c r="D335" s="103">
        <v>310</v>
      </c>
    </row>
    <row r="336" spans="1:4">
      <c r="A336" t="s">
        <v>566</v>
      </c>
      <c r="B336" t="s">
        <v>697</v>
      </c>
      <c r="C336" s="31" t="s">
        <v>227</v>
      </c>
      <c r="D336" s="103">
        <v>321</v>
      </c>
    </row>
    <row r="337" spans="1:4">
      <c r="A337" t="s">
        <v>566</v>
      </c>
      <c r="B337" t="s">
        <v>698</v>
      </c>
      <c r="C337" s="31" t="s">
        <v>227</v>
      </c>
      <c r="D337" s="103">
        <v>322</v>
      </c>
    </row>
    <row r="338" spans="1:4">
      <c r="A338" t="s">
        <v>566</v>
      </c>
      <c r="B338" t="s">
        <v>699</v>
      </c>
      <c r="C338" s="31" t="s">
        <v>227</v>
      </c>
      <c r="D338" s="103">
        <v>323</v>
      </c>
    </row>
    <row r="339" spans="1:4">
      <c r="A339" t="s">
        <v>566</v>
      </c>
      <c r="B339" t="s">
        <v>700</v>
      </c>
      <c r="C339" s="31" t="s">
        <v>227</v>
      </c>
      <c r="D339" s="103">
        <v>324</v>
      </c>
    </row>
    <row r="340" spans="1:4">
      <c r="A340" t="s">
        <v>566</v>
      </c>
      <c r="B340" t="s">
        <v>701</v>
      </c>
      <c r="C340" s="31" t="s">
        <v>227</v>
      </c>
      <c r="D340" s="103">
        <v>325</v>
      </c>
    </row>
    <row r="341" spans="1:4">
      <c r="A341" t="s">
        <v>566</v>
      </c>
      <c r="B341" t="s">
        <v>702</v>
      </c>
      <c r="C341" s="31" t="s">
        <v>227</v>
      </c>
      <c r="D341" s="103">
        <v>329</v>
      </c>
    </row>
    <row r="342" spans="1:4">
      <c r="A342" t="s">
        <v>566</v>
      </c>
      <c r="B342" t="s">
        <v>703</v>
      </c>
      <c r="C342" s="31" t="s">
        <v>227</v>
      </c>
      <c r="D342" s="103">
        <v>331</v>
      </c>
    </row>
    <row r="343" spans="1:4">
      <c r="A343" t="s">
        <v>566</v>
      </c>
      <c r="B343" t="s">
        <v>704</v>
      </c>
      <c r="C343" s="31" t="s">
        <v>227</v>
      </c>
      <c r="D343" s="103">
        <v>332</v>
      </c>
    </row>
    <row r="344" spans="1:4">
      <c r="A344" t="s">
        <v>566</v>
      </c>
      <c r="B344" t="s">
        <v>705</v>
      </c>
      <c r="C344" s="31" t="s">
        <v>227</v>
      </c>
      <c r="D344" s="103">
        <v>351</v>
      </c>
    </row>
    <row r="345" spans="1:4">
      <c r="A345" t="s">
        <v>566</v>
      </c>
      <c r="B345" t="s">
        <v>706</v>
      </c>
      <c r="C345" s="31" t="s">
        <v>227</v>
      </c>
      <c r="D345" s="103">
        <v>352</v>
      </c>
    </row>
    <row r="346" spans="1:4">
      <c r="A346" t="s">
        <v>566</v>
      </c>
      <c r="B346" t="s">
        <v>707</v>
      </c>
      <c r="C346" s="31" t="s">
        <v>227</v>
      </c>
      <c r="D346" s="103">
        <v>353</v>
      </c>
    </row>
    <row r="347" spans="1:4">
      <c r="A347" t="s">
        <v>566</v>
      </c>
      <c r="B347" t="s">
        <v>708</v>
      </c>
      <c r="C347" s="31" t="s">
        <v>227</v>
      </c>
      <c r="D347" s="103">
        <v>354</v>
      </c>
    </row>
    <row r="348" spans="1:4">
      <c r="A348" t="s">
        <v>566</v>
      </c>
      <c r="B348" t="s">
        <v>709</v>
      </c>
      <c r="C348" s="31" t="s">
        <v>227</v>
      </c>
      <c r="D348" s="103">
        <v>360</v>
      </c>
    </row>
    <row r="349" spans="1:4">
      <c r="A349" t="s">
        <v>566</v>
      </c>
      <c r="B349" t="s">
        <v>710</v>
      </c>
      <c r="C349" s="31" t="s">
        <v>227</v>
      </c>
      <c r="D349" s="103">
        <v>370</v>
      </c>
    </row>
    <row r="350" spans="1:4">
      <c r="A350" t="s">
        <v>566</v>
      </c>
      <c r="B350" t="s">
        <v>711</v>
      </c>
      <c r="C350" s="31" t="s">
        <v>227</v>
      </c>
      <c r="D350" s="103">
        <v>381</v>
      </c>
    </row>
    <row r="351" spans="1:4">
      <c r="A351" t="s">
        <v>566</v>
      </c>
      <c r="B351" t="s">
        <v>712</v>
      </c>
      <c r="C351" s="31" t="s">
        <v>227</v>
      </c>
      <c r="D351" s="103">
        <v>382</v>
      </c>
    </row>
    <row r="352" spans="1:4">
      <c r="A352" t="s">
        <v>566</v>
      </c>
      <c r="B352" t="s">
        <v>713</v>
      </c>
      <c r="C352" s="31" t="s">
        <v>227</v>
      </c>
      <c r="D352" s="103">
        <v>383</v>
      </c>
    </row>
    <row r="353" spans="1:4">
      <c r="A353" t="s">
        <v>566</v>
      </c>
      <c r="B353" t="s">
        <v>714</v>
      </c>
      <c r="C353" s="31" t="s">
        <v>227</v>
      </c>
      <c r="D353" s="103">
        <v>390</v>
      </c>
    </row>
    <row r="354" spans="1:4">
      <c r="A354" t="s">
        <v>566</v>
      </c>
      <c r="B354" t="s">
        <v>715</v>
      </c>
      <c r="C354" s="31" t="s">
        <v>227</v>
      </c>
      <c r="D354" s="103">
        <v>410</v>
      </c>
    </row>
    <row r="355" spans="1:4">
      <c r="A355" t="s">
        <v>566</v>
      </c>
      <c r="B355" t="s">
        <v>716</v>
      </c>
      <c r="C355" s="31" t="s">
        <v>227</v>
      </c>
      <c r="D355" s="103">
        <v>421</v>
      </c>
    </row>
    <row r="356" spans="1:4">
      <c r="A356" t="s">
        <v>566</v>
      </c>
      <c r="B356" t="s">
        <v>717</v>
      </c>
      <c r="C356" s="31" t="s">
        <v>227</v>
      </c>
      <c r="D356" s="103">
        <v>422</v>
      </c>
    </row>
    <row r="357" spans="1:4">
      <c r="A357" t="s">
        <v>566</v>
      </c>
      <c r="B357" t="s">
        <v>718</v>
      </c>
      <c r="C357" s="31" t="s">
        <v>227</v>
      </c>
      <c r="D357" s="103">
        <v>429</v>
      </c>
    </row>
    <row r="358" spans="1:4">
      <c r="A358" t="s">
        <v>566</v>
      </c>
      <c r="B358" t="s">
        <v>719</v>
      </c>
      <c r="C358" s="31" t="s">
        <v>227</v>
      </c>
      <c r="D358" s="103">
        <v>431</v>
      </c>
    </row>
    <row r="359" spans="1:4">
      <c r="A359" t="s">
        <v>566</v>
      </c>
      <c r="B359" t="s">
        <v>720</v>
      </c>
      <c r="C359" s="31" t="s">
        <v>227</v>
      </c>
      <c r="D359" s="103">
        <v>432</v>
      </c>
    </row>
    <row r="360" spans="1:4">
      <c r="A360" t="s">
        <v>566</v>
      </c>
      <c r="B360" t="s">
        <v>721</v>
      </c>
      <c r="C360" s="31" t="s">
        <v>227</v>
      </c>
      <c r="D360" s="103">
        <v>433</v>
      </c>
    </row>
    <row r="361" spans="1:4">
      <c r="A361" t="s">
        <v>566</v>
      </c>
      <c r="B361" t="s">
        <v>722</v>
      </c>
      <c r="C361" s="31" t="s">
        <v>227</v>
      </c>
      <c r="D361" s="103">
        <v>434</v>
      </c>
    </row>
    <row r="362" spans="1:4">
      <c r="A362" t="s">
        <v>566</v>
      </c>
      <c r="B362" t="s">
        <v>723</v>
      </c>
      <c r="C362" s="31" t="s">
        <v>227</v>
      </c>
      <c r="D362" s="103">
        <v>435</v>
      </c>
    </row>
    <row r="363" spans="1:4">
      <c r="A363" t="s">
        <v>566</v>
      </c>
      <c r="B363" t="s">
        <v>724</v>
      </c>
      <c r="C363" s="31" t="s">
        <v>227</v>
      </c>
      <c r="D363" s="103">
        <v>436</v>
      </c>
    </row>
    <row r="364" spans="1:4">
      <c r="A364" t="s">
        <v>566</v>
      </c>
      <c r="B364" t="s">
        <v>725</v>
      </c>
      <c r="C364" s="31" t="s">
        <v>227</v>
      </c>
      <c r="D364" s="103">
        <v>439</v>
      </c>
    </row>
    <row r="365" spans="1:4">
      <c r="A365" t="s">
        <v>566</v>
      </c>
      <c r="B365" t="s">
        <v>726</v>
      </c>
      <c r="C365" s="31" t="s">
        <v>227</v>
      </c>
      <c r="D365" s="103">
        <v>461</v>
      </c>
    </row>
    <row r="366" spans="1:4">
      <c r="A366" t="s">
        <v>566</v>
      </c>
      <c r="B366" t="s">
        <v>727</v>
      </c>
      <c r="C366" s="31" t="s">
        <v>227</v>
      </c>
      <c r="D366" s="103">
        <v>462</v>
      </c>
    </row>
    <row r="367" spans="1:4">
      <c r="A367" t="s">
        <v>566</v>
      </c>
      <c r="B367" t="s">
        <v>728</v>
      </c>
      <c r="C367" s="31" t="s">
        <v>227</v>
      </c>
      <c r="D367" s="103">
        <v>463</v>
      </c>
    </row>
    <row r="368" spans="1:4">
      <c r="A368" t="s">
        <v>566</v>
      </c>
      <c r="B368" t="s">
        <v>729</v>
      </c>
      <c r="C368" s="31" t="s">
        <v>227</v>
      </c>
      <c r="D368" s="103">
        <v>464</v>
      </c>
    </row>
    <row r="369" spans="1:4">
      <c r="A369" t="s">
        <v>566</v>
      </c>
      <c r="B369" t="s">
        <v>730</v>
      </c>
      <c r="C369" s="31" t="s">
        <v>227</v>
      </c>
      <c r="D369" s="103">
        <v>465</v>
      </c>
    </row>
    <row r="370" spans="1:4">
      <c r="A370" t="s">
        <v>566</v>
      </c>
      <c r="B370" t="s">
        <v>731</v>
      </c>
      <c r="C370" s="31" t="s">
        <v>227</v>
      </c>
      <c r="D370" s="103">
        <v>466</v>
      </c>
    </row>
    <row r="371" spans="1:4">
      <c r="A371" t="s">
        <v>566</v>
      </c>
      <c r="B371" t="s">
        <v>732</v>
      </c>
      <c r="C371" s="31" t="s">
        <v>227</v>
      </c>
      <c r="D371" s="103">
        <v>467</v>
      </c>
    </row>
    <row r="372" spans="1:4">
      <c r="A372" t="s">
        <v>566</v>
      </c>
      <c r="B372" t="s">
        <v>733</v>
      </c>
      <c r="C372" s="31" t="s">
        <v>227</v>
      </c>
      <c r="D372" s="103">
        <v>468</v>
      </c>
    </row>
    <row r="373" spans="1:4">
      <c r="A373" t="s">
        <v>566</v>
      </c>
      <c r="B373" t="s">
        <v>734</v>
      </c>
      <c r="C373" s="31" t="s">
        <v>227</v>
      </c>
      <c r="D373" s="103">
        <v>469</v>
      </c>
    </row>
    <row r="374" spans="1:4">
      <c r="A374" t="s">
        <v>566</v>
      </c>
      <c r="B374" t="s">
        <v>735</v>
      </c>
      <c r="C374" s="31" t="s">
        <v>227</v>
      </c>
      <c r="D374" s="103">
        <v>471</v>
      </c>
    </row>
    <row r="375" spans="1:4">
      <c r="A375" t="s">
        <v>566</v>
      </c>
      <c r="B375" t="s">
        <v>736</v>
      </c>
      <c r="C375" s="31" t="s">
        <v>227</v>
      </c>
      <c r="D375" s="103">
        <v>472</v>
      </c>
    </row>
    <row r="376" spans="1:4">
      <c r="A376" t="s">
        <v>566</v>
      </c>
      <c r="B376" t="s">
        <v>737</v>
      </c>
      <c r="C376" s="31" t="s">
        <v>227</v>
      </c>
      <c r="D376" s="103">
        <v>473</v>
      </c>
    </row>
    <row r="377" spans="1:4">
      <c r="A377" t="s">
        <v>566</v>
      </c>
      <c r="B377" t="s">
        <v>738</v>
      </c>
      <c r="C377" s="31" t="s">
        <v>227</v>
      </c>
      <c r="D377" s="103">
        <v>474</v>
      </c>
    </row>
    <row r="378" spans="1:4">
      <c r="A378" t="s">
        <v>566</v>
      </c>
      <c r="B378" t="s">
        <v>739</v>
      </c>
      <c r="C378" s="31" t="s">
        <v>227</v>
      </c>
      <c r="D378" s="103">
        <v>475</v>
      </c>
    </row>
    <row r="379" spans="1:4">
      <c r="A379" t="s">
        <v>566</v>
      </c>
      <c r="B379" t="s">
        <v>740</v>
      </c>
      <c r="C379" s="31" t="s">
        <v>227</v>
      </c>
      <c r="D379" s="103">
        <v>476</v>
      </c>
    </row>
    <row r="380" spans="1:4">
      <c r="A380" t="s">
        <v>566</v>
      </c>
      <c r="B380" t="s">
        <v>741</v>
      </c>
      <c r="C380" s="31" t="s">
        <v>227</v>
      </c>
      <c r="D380" s="103">
        <v>477</v>
      </c>
    </row>
    <row r="381" spans="1:4">
      <c r="A381" t="s">
        <v>566</v>
      </c>
      <c r="B381" t="s">
        <v>742</v>
      </c>
      <c r="C381" s="31" t="s">
        <v>227</v>
      </c>
      <c r="D381" s="103">
        <v>478</v>
      </c>
    </row>
    <row r="382" spans="1:4">
      <c r="A382" t="s">
        <v>566</v>
      </c>
      <c r="B382" t="s">
        <v>743</v>
      </c>
      <c r="C382" s="31" t="s">
        <v>227</v>
      </c>
      <c r="D382" s="103">
        <v>479</v>
      </c>
    </row>
    <row r="383" spans="1:4">
      <c r="A383" t="s">
        <v>566</v>
      </c>
      <c r="B383" t="s">
        <v>744</v>
      </c>
      <c r="C383" s="31" t="s">
        <v>227</v>
      </c>
      <c r="D383" s="103">
        <v>491</v>
      </c>
    </row>
    <row r="384" spans="1:4">
      <c r="A384" t="s">
        <v>566</v>
      </c>
      <c r="B384" t="s">
        <v>745</v>
      </c>
      <c r="C384" s="31" t="s">
        <v>227</v>
      </c>
      <c r="D384" s="103">
        <v>492</v>
      </c>
    </row>
    <row r="385" spans="1:4">
      <c r="A385" t="s">
        <v>566</v>
      </c>
      <c r="B385" t="s">
        <v>746</v>
      </c>
      <c r="C385" s="31" t="s">
        <v>227</v>
      </c>
      <c r="D385" s="103">
        <v>493</v>
      </c>
    </row>
    <row r="386" spans="1:4">
      <c r="A386" t="s">
        <v>566</v>
      </c>
      <c r="B386" t="s">
        <v>747</v>
      </c>
      <c r="C386" s="31" t="s">
        <v>227</v>
      </c>
      <c r="D386" s="103">
        <v>494</v>
      </c>
    </row>
    <row r="387" spans="1:4">
      <c r="A387" t="s">
        <v>566</v>
      </c>
      <c r="B387" t="s">
        <v>748</v>
      </c>
      <c r="C387" s="31" t="s">
        <v>227</v>
      </c>
      <c r="D387" s="103">
        <v>495</v>
      </c>
    </row>
    <row r="388" spans="1:4">
      <c r="A388" t="s">
        <v>566</v>
      </c>
      <c r="B388" t="s">
        <v>749</v>
      </c>
      <c r="C388" s="31" t="s">
        <v>227</v>
      </c>
      <c r="D388" s="103">
        <v>501</v>
      </c>
    </row>
    <row r="389" spans="1:4">
      <c r="A389" t="s">
        <v>566</v>
      </c>
      <c r="B389" t="s">
        <v>750</v>
      </c>
      <c r="C389" s="31" t="s">
        <v>227</v>
      </c>
      <c r="D389" s="103">
        <v>502</v>
      </c>
    </row>
    <row r="390" spans="1:4">
      <c r="A390" t="s">
        <v>566</v>
      </c>
      <c r="B390" t="s">
        <v>751</v>
      </c>
      <c r="C390" s="31" t="s">
        <v>227</v>
      </c>
      <c r="D390" s="103">
        <v>503</v>
      </c>
    </row>
    <row r="391" spans="1:4">
      <c r="A391" t="s">
        <v>566</v>
      </c>
      <c r="B391" t="s">
        <v>752</v>
      </c>
      <c r="C391" s="31" t="s">
        <v>227</v>
      </c>
      <c r="D391" s="103">
        <v>504</v>
      </c>
    </row>
    <row r="392" spans="1:4">
      <c r="A392" t="s">
        <v>566</v>
      </c>
      <c r="B392" t="s">
        <v>753</v>
      </c>
      <c r="C392" s="31" t="s">
        <v>227</v>
      </c>
      <c r="D392" s="103">
        <v>511</v>
      </c>
    </row>
    <row r="393" spans="1:4">
      <c r="A393" t="s">
        <v>566</v>
      </c>
      <c r="B393" t="s">
        <v>754</v>
      </c>
      <c r="C393" s="31" t="s">
        <v>227</v>
      </c>
      <c r="D393" s="103">
        <v>512</v>
      </c>
    </row>
    <row r="394" spans="1:4">
      <c r="A394" t="s">
        <v>566</v>
      </c>
      <c r="B394" t="s">
        <v>755</v>
      </c>
      <c r="C394" s="31" t="s">
        <v>227</v>
      </c>
      <c r="D394" s="103">
        <v>521</v>
      </c>
    </row>
    <row r="395" spans="1:4">
      <c r="A395" t="s">
        <v>566</v>
      </c>
      <c r="B395" t="s">
        <v>756</v>
      </c>
      <c r="C395" s="31" t="s">
        <v>227</v>
      </c>
      <c r="D395" s="103">
        <v>522</v>
      </c>
    </row>
    <row r="396" spans="1:4">
      <c r="A396" t="s">
        <v>566</v>
      </c>
      <c r="B396" t="s">
        <v>757</v>
      </c>
      <c r="C396" s="31" t="s">
        <v>227</v>
      </c>
      <c r="D396" s="103">
        <v>523</v>
      </c>
    </row>
    <row r="397" spans="1:4">
      <c r="A397" t="s">
        <v>566</v>
      </c>
      <c r="B397" t="s">
        <v>758</v>
      </c>
      <c r="C397" s="31" t="s">
        <v>227</v>
      </c>
      <c r="D397" s="103">
        <v>531</v>
      </c>
    </row>
    <row r="398" spans="1:4">
      <c r="A398" t="s">
        <v>566</v>
      </c>
      <c r="B398" t="s">
        <v>759</v>
      </c>
      <c r="C398" s="31" t="s">
        <v>227</v>
      </c>
      <c r="D398" s="103">
        <v>532</v>
      </c>
    </row>
    <row r="399" spans="1:4">
      <c r="A399" t="s">
        <v>566</v>
      </c>
      <c r="B399" t="s">
        <v>760</v>
      </c>
      <c r="C399" s="31" t="s">
        <v>227</v>
      </c>
      <c r="D399" s="103">
        <v>533</v>
      </c>
    </row>
    <row r="400" spans="1:4">
      <c r="A400" t="s">
        <v>566</v>
      </c>
      <c r="B400" t="s">
        <v>761</v>
      </c>
      <c r="C400" s="31" t="s">
        <v>227</v>
      </c>
      <c r="D400" s="103">
        <v>551</v>
      </c>
    </row>
    <row r="401" spans="1:4">
      <c r="A401" t="s">
        <v>566</v>
      </c>
      <c r="B401" t="s">
        <v>762</v>
      </c>
      <c r="C401" s="31" t="s">
        <v>227</v>
      </c>
      <c r="D401" s="103">
        <v>552</v>
      </c>
    </row>
    <row r="402" spans="1:4">
      <c r="A402" t="s">
        <v>566</v>
      </c>
      <c r="B402" t="s">
        <v>763</v>
      </c>
      <c r="C402" s="31" t="s">
        <v>227</v>
      </c>
      <c r="D402" s="103">
        <v>553</v>
      </c>
    </row>
    <row r="403" spans="1:4">
      <c r="A403" t="s">
        <v>566</v>
      </c>
      <c r="B403" t="s">
        <v>764</v>
      </c>
      <c r="C403" s="31" t="s">
        <v>227</v>
      </c>
      <c r="D403" s="103">
        <v>554</v>
      </c>
    </row>
    <row r="404" spans="1:4">
      <c r="A404" t="s">
        <v>566</v>
      </c>
      <c r="B404" t="s">
        <v>765</v>
      </c>
      <c r="C404" s="31" t="s">
        <v>227</v>
      </c>
      <c r="D404" s="103">
        <v>559</v>
      </c>
    </row>
    <row r="405" spans="1:4">
      <c r="A405" t="s">
        <v>566</v>
      </c>
      <c r="B405" t="s">
        <v>766</v>
      </c>
      <c r="C405" s="31" t="s">
        <v>227</v>
      </c>
      <c r="D405" s="103">
        <v>561</v>
      </c>
    </row>
    <row r="406" spans="1:4">
      <c r="A406" t="s">
        <v>566</v>
      </c>
      <c r="B406" t="s">
        <v>767</v>
      </c>
      <c r="C406" s="31" t="s">
        <v>227</v>
      </c>
      <c r="D406" s="103">
        <v>562</v>
      </c>
    </row>
    <row r="407" spans="1:4">
      <c r="A407" t="s">
        <v>566</v>
      </c>
      <c r="B407" t="s">
        <v>768</v>
      </c>
      <c r="C407" s="31" t="s">
        <v>227</v>
      </c>
      <c r="D407" s="103">
        <v>563</v>
      </c>
    </row>
    <row r="408" spans="1:4">
      <c r="A408" t="s">
        <v>566</v>
      </c>
      <c r="B408" t="s">
        <v>769</v>
      </c>
      <c r="C408" s="31" t="s">
        <v>227</v>
      </c>
      <c r="D408" s="103">
        <v>564</v>
      </c>
    </row>
    <row r="409" spans="1:4">
      <c r="A409" t="s">
        <v>566</v>
      </c>
      <c r="B409" t="s">
        <v>770</v>
      </c>
      <c r="C409" s="31" t="s">
        <v>227</v>
      </c>
      <c r="D409" s="103">
        <v>581</v>
      </c>
    </row>
    <row r="410" spans="1:4">
      <c r="A410" t="s">
        <v>566</v>
      </c>
      <c r="B410" t="s">
        <v>771</v>
      </c>
      <c r="C410" s="31" t="s">
        <v>227</v>
      </c>
      <c r="D410" s="103">
        <v>582</v>
      </c>
    </row>
    <row r="411" spans="1:4">
      <c r="A411" t="s">
        <v>566</v>
      </c>
      <c r="B411" t="s">
        <v>772</v>
      </c>
      <c r="C411" s="31" t="s">
        <v>227</v>
      </c>
      <c r="D411" s="103">
        <v>591</v>
      </c>
    </row>
    <row r="412" spans="1:4">
      <c r="A412" t="s">
        <v>566</v>
      </c>
      <c r="B412" t="s">
        <v>773</v>
      </c>
      <c r="C412" s="31" t="s">
        <v>227</v>
      </c>
      <c r="D412" s="103">
        <v>592</v>
      </c>
    </row>
    <row r="413" spans="1:4">
      <c r="A413" t="s">
        <v>566</v>
      </c>
      <c r="B413" t="s">
        <v>774</v>
      </c>
      <c r="C413" s="31" t="s">
        <v>227</v>
      </c>
      <c r="D413" s="103">
        <v>601</v>
      </c>
    </row>
    <row r="414" spans="1:4">
      <c r="A414" t="s">
        <v>566</v>
      </c>
      <c r="B414" t="s">
        <v>775</v>
      </c>
      <c r="C414" s="31" t="s">
        <v>227</v>
      </c>
      <c r="D414" s="103">
        <v>602</v>
      </c>
    </row>
    <row r="415" spans="1:4">
      <c r="A415" t="s">
        <v>566</v>
      </c>
      <c r="B415" t="s">
        <v>776</v>
      </c>
      <c r="C415" s="31" t="s">
        <v>227</v>
      </c>
      <c r="D415" s="103">
        <v>603</v>
      </c>
    </row>
    <row r="416" spans="1:4">
      <c r="A416" t="s">
        <v>566</v>
      </c>
      <c r="B416" t="s">
        <v>777</v>
      </c>
      <c r="C416" s="31" t="s">
        <v>227</v>
      </c>
      <c r="D416" s="103">
        <v>611</v>
      </c>
    </row>
    <row r="417" spans="1:4">
      <c r="A417" t="s">
        <v>566</v>
      </c>
      <c r="B417" t="s">
        <v>778</v>
      </c>
      <c r="C417" s="31" t="s">
        <v>227</v>
      </c>
      <c r="D417" s="103">
        <v>612</v>
      </c>
    </row>
    <row r="418" spans="1:4">
      <c r="A418" t="s">
        <v>566</v>
      </c>
      <c r="B418" t="s">
        <v>779</v>
      </c>
      <c r="C418" s="31" t="s">
        <v>227</v>
      </c>
      <c r="D418" s="103">
        <v>619</v>
      </c>
    </row>
    <row r="419" spans="1:4">
      <c r="A419" t="s">
        <v>566</v>
      </c>
      <c r="B419" t="s">
        <v>780</v>
      </c>
      <c r="C419" s="31" t="s">
        <v>227</v>
      </c>
      <c r="D419" s="103">
        <v>621</v>
      </c>
    </row>
    <row r="420" spans="1:4">
      <c r="A420" t="s">
        <v>566</v>
      </c>
      <c r="B420" t="s">
        <v>781</v>
      </c>
      <c r="C420" s="31" t="s">
        <v>227</v>
      </c>
      <c r="D420" s="103">
        <v>622</v>
      </c>
    </row>
    <row r="421" spans="1:4">
      <c r="A421" t="s">
        <v>566</v>
      </c>
      <c r="B421" t="s">
        <v>782</v>
      </c>
      <c r="C421" s="31" t="s">
        <v>227</v>
      </c>
      <c r="D421" s="103">
        <v>629</v>
      </c>
    </row>
    <row r="422" spans="1:4">
      <c r="A422" t="s">
        <v>566</v>
      </c>
      <c r="B422" t="s">
        <v>783</v>
      </c>
      <c r="C422" s="31" t="s">
        <v>227</v>
      </c>
      <c r="D422" s="103">
        <v>631</v>
      </c>
    </row>
    <row r="423" spans="1:4">
      <c r="A423" t="s">
        <v>566</v>
      </c>
      <c r="B423" t="s">
        <v>784</v>
      </c>
      <c r="C423" s="31" t="s">
        <v>227</v>
      </c>
      <c r="D423" s="103">
        <v>639</v>
      </c>
    </row>
    <row r="424" spans="1:4">
      <c r="A424" t="s">
        <v>566</v>
      </c>
      <c r="B424" t="s">
        <v>785</v>
      </c>
      <c r="C424" s="31" t="s">
        <v>227</v>
      </c>
      <c r="D424" s="103">
        <v>641</v>
      </c>
    </row>
    <row r="425" spans="1:4">
      <c r="A425" t="s">
        <v>566</v>
      </c>
      <c r="B425" t="s">
        <v>786</v>
      </c>
      <c r="C425" s="31" t="s">
        <v>227</v>
      </c>
      <c r="D425" s="103">
        <v>642</v>
      </c>
    </row>
    <row r="426" spans="1:4">
      <c r="A426" t="s">
        <v>566</v>
      </c>
      <c r="B426" t="s">
        <v>787</v>
      </c>
      <c r="C426" s="31" t="s">
        <v>227</v>
      </c>
      <c r="D426" s="103">
        <v>643</v>
      </c>
    </row>
    <row r="427" spans="1:4">
      <c r="A427" t="s">
        <v>566</v>
      </c>
      <c r="B427" t="s">
        <v>788</v>
      </c>
      <c r="C427" s="31" t="s">
        <v>227</v>
      </c>
      <c r="D427" s="103">
        <v>649</v>
      </c>
    </row>
    <row r="428" spans="1:4">
      <c r="A428" t="s">
        <v>566</v>
      </c>
      <c r="B428" t="s">
        <v>789</v>
      </c>
      <c r="C428" s="31" t="s">
        <v>227</v>
      </c>
      <c r="D428" s="103">
        <v>651</v>
      </c>
    </row>
    <row r="429" spans="1:4">
      <c r="A429" t="s">
        <v>566</v>
      </c>
      <c r="B429" t="s">
        <v>790</v>
      </c>
      <c r="C429" s="31" t="s">
        <v>227</v>
      </c>
      <c r="D429" s="103">
        <v>652</v>
      </c>
    </row>
    <row r="430" spans="1:4">
      <c r="A430" t="s">
        <v>566</v>
      </c>
      <c r="B430" t="s">
        <v>791</v>
      </c>
      <c r="C430" s="31" t="s">
        <v>227</v>
      </c>
      <c r="D430" s="103">
        <v>653</v>
      </c>
    </row>
    <row r="431" spans="1:4">
      <c r="A431" t="s">
        <v>566</v>
      </c>
      <c r="B431" t="s">
        <v>792</v>
      </c>
      <c r="C431" s="31" t="s">
        <v>227</v>
      </c>
      <c r="D431" s="103">
        <v>661</v>
      </c>
    </row>
    <row r="432" spans="1:4">
      <c r="A432" t="s">
        <v>566</v>
      </c>
      <c r="B432" t="s">
        <v>793</v>
      </c>
      <c r="C432" s="31" t="s">
        <v>227</v>
      </c>
      <c r="D432" s="103">
        <v>662</v>
      </c>
    </row>
    <row r="433" spans="1:4">
      <c r="A433" t="s">
        <v>566</v>
      </c>
      <c r="B433" t="s">
        <v>794</v>
      </c>
      <c r="C433" s="31" t="s">
        <v>227</v>
      </c>
      <c r="D433" s="103">
        <v>663</v>
      </c>
    </row>
    <row r="434" spans="1:4">
      <c r="A434" t="s">
        <v>566</v>
      </c>
      <c r="B434" t="s">
        <v>795</v>
      </c>
      <c r="C434" s="31" t="s">
        <v>227</v>
      </c>
      <c r="D434" s="103">
        <v>681</v>
      </c>
    </row>
    <row r="435" spans="1:4">
      <c r="A435" t="s">
        <v>566</v>
      </c>
      <c r="B435" t="s">
        <v>796</v>
      </c>
      <c r="C435" s="31" t="s">
        <v>227</v>
      </c>
      <c r="D435" s="103">
        <v>682</v>
      </c>
    </row>
    <row r="436" spans="1:4">
      <c r="A436" t="s">
        <v>566</v>
      </c>
      <c r="B436" t="s">
        <v>797</v>
      </c>
      <c r="C436" s="31" t="s">
        <v>227</v>
      </c>
      <c r="D436" s="103">
        <v>683</v>
      </c>
    </row>
    <row r="437" spans="1:4">
      <c r="A437" t="s">
        <v>566</v>
      </c>
      <c r="B437" t="s">
        <v>798</v>
      </c>
      <c r="C437" s="31" t="s">
        <v>227</v>
      </c>
      <c r="D437" s="103">
        <v>691</v>
      </c>
    </row>
    <row r="438" spans="1:4">
      <c r="A438" t="s">
        <v>566</v>
      </c>
      <c r="B438" t="s">
        <v>799</v>
      </c>
      <c r="C438" s="31" t="s">
        <v>227</v>
      </c>
      <c r="D438" s="103">
        <v>692</v>
      </c>
    </row>
    <row r="439" spans="1:4">
      <c r="A439" t="s">
        <v>566</v>
      </c>
      <c r="B439" t="s">
        <v>800</v>
      </c>
      <c r="C439" s="31" t="s">
        <v>227</v>
      </c>
      <c r="D439" s="103">
        <v>701</v>
      </c>
    </row>
    <row r="440" spans="1:4">
      <c r="A440" t="s">
        <v>566</v>
      </c>
      <c r="B440" t="s">
        <v>801</v>
      </c>
      <c r="C440" s="31" t="s">
        <v>227</v>
      </c>
      <c r="D440" s="103">
        <v>702</v>
      </c>
    </row>
    <row r="441" spans="1:4">
      <c r="A441" t="s">
        <v>566</v>
      </c>
      <c r="B441" t="s">
        <v>802</v>
      </c>
      <c r="C441" s="31" t="s">
        <v>227</v>
      </c>
      <c r="D441" s="103">
        <v>711</v>
      </c>
    </row>
    <row r="442" spans="1:4">
      <c r="A442" t="s">
        <v>566</v>
      </c>
      <c r="B442" t="s">
        <v>803</v>
      </c>
      <c r="C442" s="31" t="s">
        <v>227</v>
      </c>
      <c r="D442" s="103">
        <v>712</v>
      </c>
    </row>
    <row r="443" spans="1:4">
      <c r="A443" t="s">
        <v>566</v>
      </c>
      <c r="B443" t="s">
        <v>804</v>
      </c>
      <c r="C443" s="31" t="s">
        <v>227</v>
      </c>
      <c r="D443" s="103">
        <v>721</v>
      </c>
    </row>
    <row r="444" spans="1:4">
      <c r="A444" t="s">
        <v>566</v>
      </c>
      <c r="B444" t="s">
        <v>805</v>
      </c>
      <c r="C444" s="31" t="s">
        <v>227</v>
      </c>
      <c r="D444" s="103">
        <v>722</v>
      </c>
    </row>
    <row r="445" spans="1:4">
      <c r="A445" t="s">
        <v>566</v>
      </c>
      <c r="B445" t="s">
        <v>806</v>
      </c>
      <c r="C445" s="31" t="s">
        <v>227</v>
      </c>
      <c r="D445" s="103">
        <v>731</v>
      </c>
    </row>
    <row r="446" spans="1:4">
      <c r="A446" t="s">
        <v>566</v>
      </c>
      <c r="B446" t="s">
        <v>807</v>
      </c>
      <c r="C446" s="31" t="s">
        <v>227</v>
      </c>
      <c r="D446" s="103">
        <v>732</v>
      </c>
    </row>
    <row r="447" spans="1:4">
      <c r="A447" t="s">
        <v>566</v>
      </c>
      <c r="B447" t="s">
        <v>808</v>
      </c>
      <c r="C447" s="31" t="s">
        <v>227</v>
      </c>
      <c r="D447" s="103">
        <v>733</v>
      </c>
    </row>
    <row r="448" spans="1:4">
      <c r="A448" t="s">
        <v>566</v>
      </c>
      <c r="B448" t="s">
        <v>809</v>
      </c>
      <c r="C448" s="31" t="s">
        <v>227</v>
      </c>
      <c r="D448" s="103">
        <v>741</v>
      </c>
    </row>
    <row r="449" spans="1:4">
      <c r="A449" t="s">
        <v>566</v>
      </c>
      <c r="B449" t="s">
        <v>810</v>
      </c>
      <c r="C449" s="31" t="s">
        <v>227</v>
      </c>
      <c r="D449" s="103">
        <v>742</v>
      </c>
    </row>
    <row r="450" spans="1:4">
      <c r="A450" t="s">
        <v>566</v>
      </c>
      <c r="B450" t="s">
        <v>811</v>
      </c>
      <c r="C450" s="31" t="s">
        <v>227</v>
      </c>
      <c r="D450" s="103">
        <v>743</v>
      </c>
    </row>
    <row r="451" spans="1:4">
      <c r="A451" t="s">
        <v>566</v>
      </c>
      <c r="B451" t="s">
        <v>812</v>
      </c>
      <c r="C451" s="31" t="s">
        <v>227</v>
      </c>
      <c r="D451" s="103">
        <v>749</v>
      </c>
    </row>
    <row r="452" spans="1:4">
      <c r="A452" t="s">
        <v>566</v>
      </c>
      <c r="B452" t="s">
        <v>813</v>
      </c>
      <c r="C452" s="31" t="s">
        <v>227</v>
      </c>
      <c r="D452" s="103">
        <v>750</v>
      </c>
    </row>
    <row r="453" spans="1:4">
      <c r="A453" t="s">
        <v>566</v>
      </c>
      <c r="B453" t="s">
        <v>814</v>
      </c>
      <c r="C453" s="31" t="s">
        <v>227</v>
      </c>
      <c r="D453" s="103">
        <v>771</v>
      </c>
    </row>
    <row r="454" spans="1:4">
      <c r="A454" t="s">
        <v>566</v>
      </c>
      <c r="B454" t="s">
        <v>815</v>
      </c>
      <c r="C454" s="31" t="s">
        <v>227</v>
      </c>
      <c r="D454" s="103">
        <v>772</v>
      </c>
    </row>
    <row r="455" spans="1:4">
      <c r="A455" t="s">
        <v>566</v>
      </c>
      <c r="B455" t="s">
        <v>816</v>
      </c>
      <c r="C455" s="31" t="s">
        <v>227</v>
      </c>
      <c r="D455" s="103">
        <v>773</v>
      </c>
    </row>
    <row r="456" spans="1:4">
      <c r="A456" t="s">
        <v>566</v>
      </c>
      <c r="B456" t="s">
        <v>817</v>
      </c>
      <c r="C456" s="31" t="s">
        <v>227</v>
      </c>
      <c r="D456" s="103">
        <v>774</v>
      </c>
    </row>
    <row r="457" spans="1:4">
      <c r="A457" t="s">
        <v>566</v>
      </c>
      <c r="B457" t="s">
        <v>818</v>
      </c>
      <c r="C457" s="31" t="s">
        <v>227</v>
      </c>
      <c r="D457" s="103">
        <v>775</v>
      </c>
    </row>
    <row r="458" spans="1:4">
      <c r="A458" t="s">
        <v>566</v>
      </c>
      <c r="B458" t="s">
        <v>819</v>
      </c>
      <c r="C458" s="31" t="s">
        <v>227</v>
      </c>
      <c r="D458" s="103">
        <v>781</v>
      </c>
    </row>
    <row r="459" spans="1:4">
      <c r="A459" t="s">
        <v>566</v>
      </c>
      <c r="B459" t="s">
        <v>820</v>
      </c>
      <c r="C459" s="31" t="s">
        <v>227</v>
      </c>
      <c r="D459" s="103">
        <v>782</v>
      </c>
    </row>
    <row r="460" spans="1:4">
      <c r="A460" t="s">
        <v>566</v>
      </c>
      <c r="B460" t="s">
        <v>821</v>
      </c>
      <c r="C460" s="31" t="s">
        <v>227</v>
      </c>
      <c r="D460" s="103">
        <v>791</v>
      </c>
    </row>
    <row r="461" spans="1:4">
      <c r="A461" t="s">
        <v>566</v>
      </c>
      <c r="B461" t="s">
        <v>822</v>
      </c>
      <c r="C461" s="31" t="s">
        <v>227</v>
      </c>
      <c r="D461" s="103">
        <v>799</v>
      </c>
    </row>
    <row r="462" spans="1:4">
      <c r="A462" t="s">
        <v>566</v>
      </c>
      <c r="B462" t="s">
        <v>823</v>
      </c>
      <c r="C462" s="31" t="s">
        <v>227</v>
      </c>
      <c r="D462" s="103">
        <v>800</v>
      </c>
    </row>
    <row r="463" spans="1:4">
      <c r="A463" t="s">
        <v>566</v>
      </c>
      <c r="B463" t="s">
        <v>824</v>
      </c>
      <c r="C463" s="31" t="s">
        <v>227</v>
      </c>
      <c r="D463" s="103">
        <v>811</v>
      </c>
    </row>
    <row r="464" spans="1:4">
      <c r="A464" t="s">
        <v>566</v>
      </c>
      <c r="B464" t="s">
        <v>825</v>
      </c>
      <c r="C464" s="31" t="s">
        <v>227</v>
      </c>
      <c r="D464" s="103">
        <v>812</v>
      </c>
    </row>
    <row r="465" spans="1:4">
      <c r="A465" t="s">
        <v>566</v>
      </c>
      <c r="B465" t="s">
        <v>826</v>
      </c>
      <c r="C465" s="31" t="s">
        <v>227</v>
      </c>
      <c r="D465" s="103">
        <v>813</v>
      </c>
    </row>
    <row r="466" spans="1:4">
      <c r="A466" t="s">
        <v>566</v>
      </c>
      <c r="B466" t="s">
        <v>827</v>
      </c>
      <c r="C466" s="31" t="s">
        <v>227</v>
      </c>
      <c r="D466" s="103">
        <v>821</v>
      </c>
    </row>
    <row r="467" spans="1:4">
      <c r="A467" t="s">
        <v>566</v>
      </c>
      <c r="B467" t="s">
        <v>828</v>
      </c>
      <c r="C467" s="31" t="s">
        <v>227</v>
      </c>
      <c r="D467" s="103">
        <v>822</v>
      </c>
    </row>
    <row r="468" spans="1:4">
      <c r="A468" t="s">
        <v>566</v>
      </c>
      <c r="B468" t="s">
        <v>829</v>
      </c>
      <c r="C468" s="31" t="s">
        <v>227</v>
      </c>
      <c r="D468" s="103">
        <v>823</v>
      </c>
    </row>
    <row r="469" spans="1:4">
      <c r="A469" t="s">
        <v>566</v>
      </c>
      <c r="B469" t="s">
        <v>830</v>
      </c>
      <c r="C469" s="31" t="s">
        <v>227</v>
      </c>
      <c r="D469" s="103">
        <v>824</v>
      </c>
    </row>
    <row r="470" spans="1:4">
      <c r="A470" t="s">
        <v>566</v>
      </c>
      <c r="B470" t="s">
        <v>831</v>
      </c>
      <c r="C470" s="31" t="s">
        <v>227</v>
      </c>
      <c r="D470" s="103">
        <v>829</v>
      </c>
    </row>
    <row r="471" spans="1:4">
      <c r="A471" t="s">
        <v>566</v>
      </c>
      <c r="B471" t="s">
        <v>832</v>
      </c>
      <c r="C471" s="31" t="s">
        <v>227</v>
      </c>
      <c r="D471" s="103">
        <v>841</v>
      </c>
    </row>
    <row r="472" spans="1:4">
      <c r="A472" t="s">
        <v>566</v>
      </c>
      <c r="B472" t="s">
        <v>833</v>
      </c>
      <c r="C472" s="31" t="s">
        <v>227</v>
      </c>
      <c r="D472" s="103">
        <v>842</v>
      </c>
    </row>
    <row r="473" spans="1:4">
      <c r="A473" t="s">
        <v>566</v>
      </c>
      <c r="B473" t="s">
        <v>834</v>
      </c>
      <c r="C473" s="31" t="s">
        <v>227</v>
      </c>
      <c r="D473" s="103">
        <v>843</v>
      </c>
    </row>
    <row r="474" spans="1:4">
      <c r="A474" t="s">
        <v>566</v>
      </c>
      <c r="B474" t="s">
        <v>835</v>
      </c>
      <c r="C474" s="31" t="s">
        <v>227</v>
      </c>
      <c r="D474" s="103">
        <v>851</v>
      </c>
    </row>
    <row r="475" spans="1:4">
      <c r="A475" t="s">
        <v>566</v>
      </c>
      <c r="B475" t="s">
        <v>836</v>
      </c>
      <c r="C475" s="31" t="s">
        <v>227</v>
      </c>
      <c r="D475" s="103">
        <v>852</v>
      </c>
    </row>
    <row r="476" spans="1:4">
      <c r="A476" t="s">
        <v>566</v>
      </c>
      <c r="B476" t="s">
        <v>837</v>
      </c>
      <c r="C476" s="31" t="s">
        <v>227</v>
      </c>
      <c r="D476" s="103">
        <v>853</v>
      </c>
    </row>
    <row r="477" spans="1:4">
      <c r="A477" t="s">
        <v>566</v>
      </c>
      <c r="B477" t="s">
        <v>838</v>
      </c>
      <c r="C477" s="31" t="s">
        <v>227</v>
      </c>
      <c r="D477" s="103">
        <v>854</v>
      </c>
    </row>
    <row r="478" spans="1:4">
      <c r="A478" t="s">
        <v>566</v>
      </c>
      <c r="B478" t="s">
        <v>839</v>
      </c>
      <c r="C478" s="31" t="s">
        <v>227</v>
      </c>
      <c r="D478" s="103">
        <v>855</v>
      </c>
    </row>
    <row r="479" spans="1:4">
      <c r="A479" t="s">
        <v>566</v>
      </c>
      <c r="B479" t="s">
        <v>840</v>
      </c>
      <c r="C479" s="31" t="s">
        <v>227</v>
      </c>
      <c r="D479" s="103">
        <v>856</v>
      </c>
    </row>
    <row r="480" spans="1:4">
      <c r="A480" t="s">
        <v>566</v>
      </c>
      <c r="B480" t="s">
        <v>841</v>
      </c>
      <c r="C480" s="31" t="s">
        <v>227</v>
      </c>
      <c r="D480" s="103">
        <v>861</v>
      </c>
    </row>
    <row r="481" spans="1:4">
      <c r="A481" t="s">
        <v>566</v>
      </c>
      <c r="B481" t="s">
        <v>842</v>
      </c>
      <c r="C481" s="31" t="s">
        <v>227</v>
      </c>
      <c r="D481" s="103">
        <v>862</v>
      </c>
    </row>
    <row r="482" spans="1:4">
      <c r="A482" t="s">
        <v>566</v>
      </c>
      <c r="B482" t="s">
        <v>843</v>
      </c>
      <c r="C482" s="31" t="s">
        <v>227</v>
      </c>
      <c r="D482" s="103">
        <v>869</v>
      </c>
    </row>
    <row r="483" spans="1:4">
      <c r="A483" t="s">
        <v>566</v>
      </c>
      <c r="B483" t="s">
        <v>844</v>
      </c>
      <c r="C483" s="31" t="s">
        <v>227</v>
      </c>
      <c r="D483" s="103">
        <v>871</v>
      </c>
    </row>
    <row r="484" spans="1:4">
      <c r="A484" t="s">
        <v>566</v>
      </c>
      <c r="B484" t="s">
        <v>845</v>
      </c>
      <c r="C484" s="31" t="s">
        <v>227</v>
      </c>
      <c r="D484" s="103">
        <v>872</v>
      </c>
    </row>
    <row r="485" spans="1:4">
      <c r="A485" t="s">
        <v>566</v>
      </c>
      <c r="B485" t="s">
        <v>846</v>
      </c>
      <c r="C485" s="31" t="s">
        <v>227</v>
      </c>
      <c r="D485" s="103">
        <v>873</v>
      </c>
    </row>
    <row r="486" spans="1:4">
      <c r="A486" t="s">
        <v>566</v>
      </c>
      <c r="B486" t="s">
        <v>847</v>
      </c>
      <c r="C486" s="31" t="s">
        <v>227</v>
      </c>
      <c r="D486" s="103">
        <v>879</v>
      </c>
    </row>
    <row r="487" spans="1:4">
      <c r="A487" t="s">
        <v>566</v>
      </c>
      <c r="B487" t="s">
        <v>848</v>
      </c>
      <c r="C487" s="31" t="s">
        <v>227</v>
      </c>
      <c r="D487" s="103">
        <v>881</v>
      </c>
    </row>
    <row r="488" spans="1:4">
      <c r="A488" t="s">
        <v>566</v>
      </c>
      <c r="B488" t="s">
        <v>849</v>
      </c>
      <c r="C488" s="31" t="s">
        <v>227</v>
      </c>
      <c r="D488" s="103">
        <v>889</v>
      </c>
    </row>
    <row r="489" spans="1:4">
      <c r="A489" t="s">
        <v>566</v>
      </c>
      <c r="B489" t="s">
        <v>850</v>
      </c>
      <c r="C489" s="31" t="s">
        <v>227</v>
      </c>
      <c r="D489" s="103">
        <v>901</v>
      </c>
    </row>
    <row r="490" spans="1:4">
      <c r="A490" t="s">
        <v>566</v>
      </c>
      <c r="B490" t="s">
        <v>851</v>
      </c>
      <c r="C490" s="31" t="s">
        <v>227</v>
      </c>
      <c r="D490" s="103">
        <v>902</v>
      </c>
    </row>
    <row r="491" spans="1:4">
      <c r="A491" t="s">
        <v>566</v>
      </c>
      <c r="B491" t="s">
        <v>852</v>
      </c>
      <c r="C491" s="31" t="s">
        <v>227</v>
      </c>
      <c r="D491" s="103">
        <v>903</v>
      </c>
    </row>
    <row r="492" spans="1:4">
      <c r="A492" t="s">
        <v>566</v>
      </c>
      <c r="B492" t="s">
        <v>853</v>
      </c>
      <c r="C492" s="31" t="s">
        <v>227</v>
      </c>
      <c r="D492" s="103">
        <v>911</v>
      </c>
    </row>
    <row r="493" spans="1:4">
      <c r="A493" t="s">
        <v>566</v>
      </c>
      <c r="B493" t="s">
        <v>854</v>
      </c>
      <c r="C493" s="31" t="s">
        <v>227</v>
      </c>
      <c r="D493" s="103">
        <v>912</v>
      </c>
    </row>
    <row r="494" spans="1:4">
      <c r="A494" t="s">
        <v>566</v>
      </c>
      <c r="B494" t="s">
        <v>855</v>
      </c>
      <c r="C494" s="31" t="s">
        <v>227</v>
      </c>
      <c r="D494" s="103">
        <v>913</v>
      </c>
    </row>
    <row r="495" spans="1:4">
      <c r="A495" t="s">
        <v>566</v>
      </c>
      <c r="B495" t="s">
        <v>856</v>
      </c>
      <c r="C495" s="31" t="s">
        <v>227</v>
      </c>
      <c r="D495" s="103">
        <v>914</v>
      </c>
    </row>
    <row r="496" spans="1:4">
      <c r="A496" t="s">
        <v>566</v>
      </c>
      <c r="B496" t="s">
        <v>857</v>
      </c>
      <c r="C496" s="31" t="s">
        <v>227</v>
      </c>
      <c r="D496" s="103">
        <v>920</v>
      </c>
    </row>
    <row r="497" spans="1:4">
      <c r="A497" t="s">
        <v>566</v>
      </c>
      <c r="B497" t="s">
        <v>858</v>
      </c>
      <c r="C497" s="31" t="s">
        <v>227</v>
      </c>
      <c r="D497" s="103">
        <v>931</v>
      </c>
    </row>
    <row r="498" spans="1:4">
      <c r="A498" t="s">
        <v>566</v>
      </c>
      <c r="B498" t="s">
        <v>859</v>
      </c>
      <c r="C498" s="31" t="s">
        <v>227</v>
      </c>
      <c r="D498" s="103">
        <v>932</v>
      </c>
    </row>
    <row r="499" spans="1:4">
      <c r="A499" t="s">
        <v>566</v>
      </c>
      <c r="B499" t="s">
        <v>860</v>
      </c>
      <c r="C499" s="31" t="s">
        <v>227</v>
      </c>
      <c r="D499" s="103">
        <v>941</v>
      </c>
    </row>
    <row r="500" spans="1:4">
      <c r="A500" t="s">
        <v>566</v>
      </c>
      <c r="B500" t="s">
        <v>861</v>
      </c>
      <c r="C500" s="31" t="s">
        <v>227</v>
      </c>
      <c r="D500" s="103">
        <v>942</v>
      </c>
    </row>
    <row r="501" spans="1:4">
      <c r="A501" t="s">
        <v>566</v>
      </c>
      <c r="B501" t="s">
        <v>862</v>
      </c>
      <c r="C501" s="31" t="s">
        <v>227</v>
      </c>
      <c r="D501" s="103">
        <v>949</v>
      </c>
    </row>
    <row r="502" spans="1:4">
      <c r="A502" t="s">
        <v>566</v>
      </c>
      <c r="B502" t="s">
        <v>863</v>
      </c>
      <c r="C502" s="31" t="s">
        <v>227</v>
      </c>
      <c r="D502" s="103">
        <v>951</v>
      </c>
    </row>
    <row r="503" spans="1:4">
      <c r="A503" t="s">
        <v>566</v>
      </c>
      <c r="B503" t="s">
        <v>864</v>
      </c>
      <c r="C503" s="31" t="s">
        <v>227</v>
      </c>
      <c r="D503" s="103">
        <v>952</v>
      </c>
    </row>
    <row r="504" spans="1:4">
      <c r="A504" t="s">
        <v>566</v>
      </c>
      <c r="B504" t="s">
        <v>865</v>
      </c>
      <c r="C504" s="31" t="s">
        <v>227</v>
      </c>
      <c r="D504" s="103">
        <v>953</v>
      </c>
    </row>
    <row r="505" spans="1:4">
      <c r="A505" t="s">
        <v>566</v>
      </c>
      <c r="B505" t="s">
        <v>866</v>
      </c>
      <c r="C505" s="31" t="s">
        <v>227</v>
      </c>
      <c r="D505" s="103">
        <v>954</v>
      </c>
    </row>
    <row r="506" spans="1:4">
      <c r="A506" t="s">
        <v>566</v>
      </c>
      <c r="B506" t="s">
        <v>867</v>
      </c>
      <c r="C506" s="31" t="s">
        <v>227</v>
      </c>
      <c r="D506" s="103">
        <v>961</v>
      </c>
    </row>
    <row r="507" spans="1:4">
      <c r="A507" t="s">
        <v>566</v>
      </c>
      <c r="B507" t="s">
        <v>868</v>
      </c>
      <c r="C507" s="31" t="s">
        <v>227</v>
      </c>
      <c r="D507" s="103">
        <v>962</v>
      </c>
    </row>
    <row r="508" spans="1:4">
      <c r="A508" t="s">
        <v>566</v>
      </c>
      <c r="B508" t="s">
        <v>869</v>
      </c>
      <c r="C508" s="31" t="s">
        <v>227</v>
      </c>
      <c r="D508" s="103">
        <v>963</v>
      </c>
    </row>
    <row r="509" spans="1:4">
      <c r="A509" t="s">
        <v>566</v>
      </c>
      <c r="B509" t="s">
        <v>870</v>
      </c>
      <c r="C509" s="31" t="s">
        <v>227</v>
      </c>
      <c r="D509" s="103">
        <v>964</v>
      </c>
    </row>
    <row r="510" spans="1:4">
      <c r="A510" t="s">
        <v>566</v>
      </c>
      <c r="B510" t="s">
        <v>871</v>
      </c>
      <c r="C510" s="31" t="s">
        <v>227</v>
      </c>
      <c r="D510" s="103">
        <v>969</v>
      </c>
    </row>
    <row r="511" spans="1:4">
      <c r="A511" t="s">
        <v>566</v>
      </c>
      <c r="B511" t="s">
        <v>872</v>
      </c>
      <c r="C511" s="31" t="s">
        <v>227</v>
      </c>
      <c r="D511" s="103">
        <v>970</v>
      </c>
    </row>
    <row r="512" spans="1:4">
      <c r="A512" t="s">
        <v>566</v>
      </c>
      <c r="B512" t="s">
        <v>873</v>
      </c>
      <c r="C512" s="31" t="s">
        <v>227</v>
      </c>
      <c r="D512" s="103">
        <v>981</v>
      </c>
    </row>
    <row r="513" spans="1:4">
      <c r="A513" t="s">
        <v>566</v>
      </c>
      <c r="B513" t="s">
        <v>874</v>
      </c>
      <c r="C513" s="31" t="s">
        <v>227</v>
      </c>
      <c r="D513" s="103">
        <v>982</v>
      </c>
    </row>
    <row r="514" spans="1:4">
      <c r="A514" t="s">
        <v>566</v>
      </c>
      <c r="B514" t="s">
        <v>875</v>
      </c>
      <c r="C514" s="31" t="s">
        <v>227</v>
      </c>
      <c r="D514" s="103">
        <v>990</v>
      </c>
    </row>
    <row r="515" spans="1:4" ht="16.5">
      <c r="A515" t="s">
        <v>876</v>
      </c>
      <c r="B515" s="97" t="s">
        <v>877</v>
      </c>
      <c r="C515" s="98" t="s">
        <v>105</v>
      </c>
      <c r="D515" s="103" t="s">
        <v>362</v>
      </c>
    </row>
    <row r="516" spans="1:4" ht="16.5">
      <c r="A516" t="s">
        <v>876</v>
      </c>
      <c r="B516" s="97" t="s">
        <v>878</v>
      </c>
      <c r="C516" s="98" t="s">
        <v>105</v>
      </c>
      <c r="D516" s="103" t="s">
        <v>362</v>
      </c>
    </row>
    <row r="517" spans="1:4" ht="16.5">
      <c r="A517" t="s">
        <v>876</v>
      </c>
      <c r="B517" s="97" t="s">
        <v>104</v>
      </c>
      <c r="C517" s="98" t="s">
        <v>105</v>
      </c>
      <c r="D517" s="103" t="s">
        <v>362</v>
      </c>
    </row>
    <row r="518" spans="1:4" ht="16.5">
      <c r="A518" t="s">
        <v>876</v>
      </c>
      <c r="B518" s="97" t="s">
        <v>879</v>
      </c>
      <c r="C518" s="98" t="s">
        <v>105</v>
      </c>
      <c r="D518" s="103" t="s">
        <v>362</v>
      </c>
    </row>
    <row r="519" spans="1:4" ht="16.5">
      <c r="A519" t="s">
        <v>876</v>
      </c>
      <c r="B519" s="97" t="s">
        <v>880</v>
      </c>
      <c r="C519" s="98" t="s">
        <v>105</v>
      </c>
      <c r="D519" s="103" t="s">
        <v>362</v>
      </c>
    </row>
    <row r="520" spans="1:4" ht="16.5">
      <c r="A520" t="s">
        <v>876</v>
      </c>
      <c r="B520" s="97" t="s">
        <v>881</v>
      </c>
      <c r="C520" s="98" t="s">
        <v>105</v>
      </c>
      <c r="D520" s="103" t="s">
        <v>362</v>
      </c>
    </row>
    <row r="521" spans="1:4" ht="16.5">
      <c r="A521" t="s">
        <v>876</v>
      </c>
      <c r="B521" s="97" t="s">
        <v>882</v>
      </c>
      <c r="C521" s="98" t="s">
        <v>105</v>
      </c>
      <c r="D521" s="103" t="s">
        <v>362</v>
      </c>
    </row>
    <row r="522" spans="1:4" ht="16.5">
      <c r="A522" t="s">
        <v>876</v>
      </c>
      <c r="B522" s="97" t="s">
        <v>883</v>
      </c>
      <c r="C522" s="98" t="s">
        <v>105</v>
      </c>
      <c r="D522" s="103" t="s">
        <v>362</v>
      </c>
    </row>
    <row r="523" spans="1:4" ht="16.5">
      <c r="A523" t="s">
        <v>876</v>
      </c>
      <c r="B523" s="97" t="s">
        <v>884</v>
      </c>
      <c r="C523" s="98" t="s">
        <v>105</v>
      </c>
      <c r="D523" s="103" t="s">
        <v>362</v>
      </c>
    </row>
    <row r="524" spans="1:4" ht="16.5">
      <c r="A524" t="s">
        <v>876</v>
      </c>
      <c r="B524" s="97" t="s">
        <v>885</v>
      </c>
      <c r="C524" s="98" t="s">
        <v>105</v>
      </c>
      <c r="D524" s="103" t="s">
        <v>362</v>
      </c>
    </row>
    <row r="525" spans="1:4" ht="16.5">
      <c r="A525" t="s">
        <v>876</v>
      </c>
      <c r="B525" s="97" t="s">
        <v>886</v>
      </c>
      <c r="C525" s="98" t="s">
        <v>105</v>
      </c>
      <c r="D525" s="103" t="s">
        <v>362</v>
      </c>
    </row>
    <row r="526" spans="1:4" ht="16.5">
      <c r="A526" t="s">
        <v>876</v>
      </c>
      <c r="B526" s="97" t="s">
        <v>887</v>
      </c>
      <c r="C526" s="98" t="s">
        <v>105</v>
      </c>
      <c r="D526" s="103" t="s">
        <v>362</v>
      </c>
    </row>
    <row r="527" spans="1:4" ht="16.5">
      <c r="A527" t="s">
        <v>876</v>
      </c>
      <c r="B527" s="97" t="s">
        <v>888</v>
      </c>
      <c r="C527" s="98" t="s">
        <v>105</v>
      </c>
      <c r="D527" s="103" t="s">
        <v>362</v>
      </c>
    </row>
    <row r="528" spans="1:4" ht="16.5">
      <c r="A528" t="s">
        <v>876</v>
      </c>
      <c r="B528" s="97" t="s">
        <v>889</v>
      </c>
      <c r="C528" s="98" t="s">
        <v>105</v>
      </c>
      <c r="D528" s="103" t="s">
        <v>362</v>
      </c>
    </row>
    <row r="529" spans="1:4" ht="16.5">
      <c r="A529" t="s">
        <v>876</v>
      </c>
      <c r="B529" s="97" t="s">
        <v>890</v>
      </c>
      <c r="C529" s="98" t="s">
        <v>105</v>
      </c>
      <c r="D529" s="103" t="s">
        <v>362</v>
      </c>
    </row>
    <row r="530" spans="1:4" ht="16.5">
      <c r="A530" t="s">
        <v>876</v>
      </c>
      <c r="B530" s="97" t="s">
        <v>891</v>
      </c>
      <c r="C530" s="98" t="s">
        <v>105</v>
      </c>
      <c r="D530" s="103" t="s">
        <v>362</v>
      </c>
    </row>
    <row r="531" spans="1:4" ht="16.5">
      <c r="A531" t="s">
        <v>876</v>
      </c>
      <c r="B531" s="97" t="s">
        <v>892</v>
      </c>
      <c r="C531" s="98" t="s">
        <v>105</v>
      </c>
      <c r="D531" s="103" t="s">
        <v>362</v>
      </c>
    </row>
    <row r="532" spans="1:4" ht="16.5">
      <c r="A532" t="s">
        <v>876</v>
      </c>
      <c r="B532" s="97" t="s">
        <v>893</v>
      </c>
      <c r="C532" s="98" t="s">
        <v>105</v>
      </c>
      <c r="D532" s="103" t="s">
        <v>362</v>
      </c>
    </row>
    <row r="533" spans="1:4" ht="16.5">
      <c r="A533" t="s">
        <v>876</v>
      </c>
      <c r="B533" s="97" t="s">
        <v>894</v>
      </c>
      <c r="C533" s="98" t="s">
        <v>105</v>
      </c>
      <c r="D533" s="103" t="s">
        <v>362</v>
      </c>
    </row>
    <row r="534" spans="1:4" ht="16.5">
      <c r="A534" t="s">
        <v>876</v>
      </c>
      <c r="B534" s="97" t="s">
        <v>895</v>
      </c>
      <c r="C534" s="98" t="s">
        <v>105</v>
      </c>
      <c r="D534" s="103" t="s">
        <v>362</v>
      </c>
    </row>
    <row r="535" spans="1:4" ht="16.5">
      <c r="A535" t="s">
        <v>876</v>
      </c>
      <c r="B535" s="97" t="s">
        <v>896</v>
      </c>
      <c r="C535" s="98" t="s">
        <v>105</v>
      </c>
      <c r="D535" s="103" t="s">
        <v>362</v>
      </c>
    </row>
    <row r="536" spans="1:4" ht="16.5">
      <c r="A536" t="s">
        <v>876</v>
      </c>
      <c r="B536" s="97" t="s">
        <v>897</v>
      </c>
      <c r="C536" s="98" t="s">
        <v>105</v>
      </c>
      <c r="D536" s="103" t="s">
        <v>362</v>
      </c>
    </row>
    <row r="537" spans="1:4" ht="16.5">
      <c r="A537" t="s">
        <v>876</v>
      </c>
      <c r="B537" s="97" t="s">
        <v>898</v>
      </c>
      <c r="C537" s="98" t="s">
        <v>105</v>
      </c>
      <c r="D537" s="103" t="s">
        <v>362</v>
      </c>
    </row>
    <row r="538" spans="1:4" ht="16.5">
      <c r="A538" t="s">
        <v>876</v>
      </c>
      <c r="B538" s="97" t="s">
        <v>899</v>
      </c>
      <c r="C538" s="98" t="s">
        <v>105</v>
      </c>
      <c r="D538" s="103" t="s">
        <v>362</v>
      </c>
    </row>
    <row r="539" spans="1:4" ht="16.5">
      <c r="A539" t="s">
        <v>876</v>
      </c>
      <c r="B539" s="97" t="s">
        <v>900</v>
      </c>
      <c r="C539" s="98" t="s">
        <v>105</v>
      </c>
      <c r="D539" s="103" t="s">
        <v>362</v>
      </c>
    </row>
    <row r="540" spans="1:4" ht="16.5">
      <c r="A540" t="s">
        <v>876</v>
      </c>
      <c r="B540" s="97" t="s">
        <v>901</v>
      </c>
      <c r="C540" s="98" t="s">
        <v>105</v>
      </c>
      <c r="D540" s="103" t="s">
        <v>362</v>
      </c>
    </row>
    <row r="541" spans="1:4" ht="16.5">
      <c r="A541" t="s">
        <v>876</v>
      </c>
      <c r="B541" s="97" t="s">
        <v>902</v>
      </c>
      <c r="C541" s="98" t="s">
        <v>105</v>
      </c>
      <c r="D541" s="103" t="s">
        <v>362</v>
      </c>
    </row>
    <row r="542" spans="1:4" ht="16.5">
      <c r="A542" t="s">
        <v>876</v>
      </c>
      <c r="B542" s="97" t="s">
        <v>903</v>
      </c>
      <c r="C542" s="98" t="s">
        <v>105</v>
      </c>
      <c r="D542" s="103" t="s">
        <v>362</v>
      </c>
    </row>
    <row r="543" spans="1:4" ht="16.5">
      <c r="A543" t="s">
        <v>876</v>
      </c>
      <c r="B543" s="97" t="s">
        <v>904</v>
      </c>
      <c r="C543" s="98" t="s">
        <v>105</v>
      </c>
      <c r="D543" s="103" t="s">
        <v>362</v>
      </c>
    </row>
    <row r="544" spans="1:4" ht="16.5">
      <c r="A544" t="s">
        <v>876</v>
      </c>
      <c r="B544" s="97" t="s">
        <v>905</v>
      </c>
      <c r="C544" s="98" t="s">
        <v>105</v>
      </c>
      <c r="D544" s="103" t="s">
        <v>362</v>
      </c>
    </row>
    <row r="545" spans="1:4">
      <c r="A545" t="s">
        <v>906</v>
      </c>
      <c r="C545" s="98" t="s">
        <v>210</v>
      </c>
      <c r="D545" t="s">
        <v>907</v>
      </c>
    </row>
    <row r="546" spans="1:4">
      <c r="A546" t="s">
        <v>906</v>
      </c>
      <c r="C546" s="98" t="s">
        <v>210</v>
      </c>
      <c r="D546" t="s">
        <v>908</v>
      </c>
    </row>
    <row r="547" spans="1:4">
      <c r="A547" t="s">
        <v>906</v>
      </c>
      <c r="C547" s="98" t="s">
        <v>210</v>
      </c>
      <c r="D547" t="s">
        <v>909</v>
      </c>
    </row>
    <row r="548" spans="1:4">
      <c r="A548" t="s">
        <v>906</v>
      </c>
      <c r="C548" s="98" t="s">
        <v>210</v>
      </c>
      <c r="D548" t="s">
        <v>910</v>
      </c>
    </row>
    <row r="549" spans="1:4">
      <c r="A549" t="s">
        <v>906</v>
      </c>
      <c r="C549" s="98" t="s">
        <v>210</v>
      </c>
      <c r="D549" t="s">
        <v>911</v>
      </c>
    </row>
    <row r="550" spans="1:4">
      <c r="A550" t="s">
        <v>906</v>
      </c>
      <c r="C550" s="98" t="s">
        <v>210</v>
      </c>
      <c r="D550" t="s">
        <v>912</v>
      </c>
    </row>
    <row r="551" spans="1:4">
      <c r="A551" t="s">
        <v>906</v>
      </c>
      <c r="C551" s="98" t="s">
        <v>210</v>
      </c>
      <c r="D551" t="s">
        <v>913</v>
      </c>
    </row>
    <row r="552" spans="1:4">
      <c r="A552" t="s">
        <v>906</v>
      </c>
      <c r="C552" s="98" t="s">
        <v>210</v>
      </c>
      <c r="D552" t="s">
        <v>914</v>
      </c>
    </row>
    <row r="553" spans="1:4">
      <c r="A553" t="s">
        <v>906</v>
      </c>
      <c r="C553" s="98" t="s">
        <v>210</v>
      </c>
      <c r="D553" t="s">
        <v>915</v>
      </c>
    </row>
    <row r="554" spans="1:4">
      <c r="A554" t="s">
        <v>906</v>
      </c>
      <c r="C554" s="98" t="s">
        <v>210</v>
      </c>
      <c r="D554" t="s">
        <v>916</v>
      </c>
    </row>
    <row r="555" spans="1:4">
      <c r="A555" t="s">
        <v>906</v>
      </c>
      <c r="C555" s="98" t="s">
        <v>210</v>
      </c>
      <c r="D555" t="s">
        <v>917</v>
      </c>
    </row>
    <row r="556" spans="1:4">
      <c r="A556" t="s">
        <v>918</v>
      </c>
      <c r="C556" s="98" t="s">
        <v>88</v>
      </c>
      <c r="D556" s="96" t="s">
        <v>919</v>
      </c>
    </row>
    <row r="557" spans="1:4">
      <c r="A557" t="s">
        <v>918</v>
      </c>
      <c r="C557" s="98" t="s">
        <v>88</v>
      </c>
      <c r="D557" s="96" t="s">
        <v>920</v>
      </c>
    </row>
    <row r="558" spans="1:4">
      <c r="A558" t="s">
        <v>918</v>
      </c>
      <c r="C558" s="98" t="s">
        <v>88</v>
      </c>
      <c r="D558" s="96" t="s">
        <v>921</v>
      </c>
    </row>
    <row r="559" spans="1:4">
      <c r="A559" t="s">
        <v>918</v>
      </c>
      <c r="C559" s="98" t="s">
        <v>88</v>
      </c>
      <c r="D559" s="96" t="s">
        <v>922</v>
      </c>
    </row>
    <row r="560" spans="1:4">
      <c r="A560" t="s">
        <v>918</v>
      </c>
      <c r="C560" s="98" t="s">
        <v>88</v>
      </c>
      <c r="D560" s="96" t="s">
        <v>86</v>
      </c>
    </row>
    <row r="561" spans="1:4">
      <c r="A561" t="s">
        <v>918</v>
      </c>
      <c r="C561" s="98" t="s">
        <v>88</v>
      </c>
      <c r="D561" s="96" t="s">
        <v>923</v>
      </c>
    </row>
    <row r="562" spans="1:4">
      <c r="A562" t="s">
        <v>924</v>
      </c>
      <c r="D562" s="96" t="s">
        <v>925</v>
      </c>
    </row>
    <row r="563" spans="1:4">
      <c r="A563" t="s">
        <v>924</v>
      </c>
      <c r="D563" s="96" t="s">
        <v>926</v>
      </c>
    </row>
    <row r="564" spans="1:4">
      <c r="A564" t="s">
        <v>924</v>
      </c>
      <c r="D564" s="96" t="s">
        <v>927</v>
      </c>
    </row>
    <row r="565" spans="1:4">
      <c r="A565" t="s">
        <v>924</v>
      </c>
      <c r="D565" s="96" t="s">
        <v>928</v>
      </c>
    </row>
    <row r="566" spans="1:4">
      <c r="A566" t="s">
        <v>929</v>
      </c>
      <c r="C566" s="30" t="s">
        <v>930</v>
      </c>
    </row>
    <row r="567" spans="1:4">
      <c r="A567" t="s">
        <v>929</v>
      </c>
      <c r="C567" s="30" t="s">
        <v>931</v>
      </c>
    </row>
    <row r="568" spans="1:4">
      <c r="A568" t="s">
        <v>929</v>
      </c>
      <c r="C568" s="30" t="s">
        <v>932</v>
      </c>
    </row>
    <row r="569" spans="1:4">
      <c r="A569" t="s">
        <v>929</v>
      </c>
      <c r="C569" s="30" t="s">
        <v>933</v>
      </c>
    </row>
    <row r="570" spans="1:4">
      <c r="A570" t="s">
        <v>929</v>
      </c>
      <c r="C570" s="30" t="s">
        <v>934</v>
      </c>
    </row>
    <row r="571" spans="1:4">
      <c r="A571" t="s">
        <v>929</v>
      </c>
      <c r="C571" s="30" t="s">
        <v>935</v>
      </c>
    </row>
    <row r="572" spans="1:4">
      <c r="A572" t="s">
        <v>929</v>
      </c>
      <c r="C572" s="30" t="s">
        <v>936</v>
      </c>
    </row>
    <row r="573" spans="1:4">
      <c r="A573" t="s">
        <v>929</v>
      </c>
      <c r="C573" s="30" t="s">
        <v>937</v>
      </c>
    </row>
    <row r="574" spans="1:4">
      <c r="A574" t="s">
        <v>929</v>
      </c>
      <c r="C574" s="30" t="s">
        <v>938</v>
      </c>
    </row>
    <row r="575" spans="1:4">
      <c r="A575" t="s">
        <v>929</v>
      </c>
      <c r="C575" s="30" t="s">
        <v>939</v>
      </c>
    </row>
    <row r="576" spans="1:4">
      <c r="A576" t="s">
        <v>929</v>
      </c>
      <c r="C576" s="30" t="s">
        <v>940</v>
      </c>
    </row>
    <row r="577" spans="1:3">
      <c r="A577" t="s">
        <v>929</v>
      </c>
      <c r="C577" s="30" t="s">
        <v>941</v>
      </c>
    </row>
    <row r="578" spans="1:3">
      <c r="A578" t="s">
        <v>929</v>
      </c>
      <c r="C578" s="30" t="s">
        <v>942</v>
      </c>
    </row>
    <row r="579" spans="1:3">
      <c r="A579" t="s">
        <v>929</v>
      </c>
      <c r="C579" s="30" t="s">
        <v>943</v>
      </c>
    </row>
    <row r="580" spans="1:3">
      <c r="A580" t="s">
        <v>929</v>
      </c>
      <c r="C580" s="30" t="s">
        <v>944</v>
      </c>
    </row>
    <row r="581" spans="1:3">
      <c r="A581" t="s">
        <v>929</v>
      </c>
      <c r="C581" s="30" t="s">
        <v>945</v>
      </c>
    </row>
    <row r="582" spans="1:3">
      <c r="A582" t="s">
        <v>929</v>
      </c>
      <c r="C582" s="30" t="s">
        <v>946</v>
      </c>
    </row>
    <row r="583" spans="1:3">
      <c r="A583" t="s">
        <v>929</v>
      </c>
      <c r="C583" s="30" t="s">
        <v>947</v>
      </c>
    </row>
    <row r="584" spans="1:3">
      <c r="A584" t="s">
        <v>929</v>
      </c>
      <c r="C584" s="30" t="s">
        <v>948</v>
      </c>
    </row>
    <row r="585" spans="1:3">
      <c r="A585" t="s">
        <v>929</v>
      </c>
      <c r="C585" s="30" t="s">
        <v>949</v>
      </c>
    </row>
    <row r="586" spans="1:3">
      <c r="A586" t="s">
        <v>929</v>
      </c>
      <c r="C586" s="30" t="s">
        <v>950</v>
      </c>
    </row>
    <row r="587" spans="1:3">
      <c r="A587" t="s">
        <v>929</v>
      </c>
      <c r="C587" s="30" t="s">
        <v>951</v>
      </c>
    </row>
    <row r="588" spans="1:3">
      <c r="A588" t="s">
        <v>929</v>
      </c>
      <c r="C588" s="30" t="s">
        <v>952</v>
      </c>
    </row>
    <row r="589" spans="1:3">
      <c r="A589" t="s">
        <v>929</v>
      </c>
      <c r="C589" s="30" t="s">
        <v>953</v>
      </c>
    </row>
    <row r="590" spans="1:3">
      <c r="A590" t="s">
        <v>929</v>
      </c>
      <c r="C590" s="30" t="s">
        <v>954</v>
      </c>
    </row>
    <row r="591" spans="1:3">
      <c r="A591" t="s">
        <v>929</v>
      </c>
      <c r="C591" s="30" t="s">
        <v>955</v>
      </c>
    </row>
    <row r="592" spans="1:3">
      <c r="A592" t="s">
        <v>929</v>
      </c>
      <c r="C592" s="30" t="s">
        <v>956</v>
      </c>
    </row>
    <row r="593" spans="1:3">
      <c r="A593" t="s">
        <v>929</v>
      </c>
      <c r="C593" s="30" t="s">
        <v>957</v>
      </c>
    </row>
    <row r="594" spans="1:3">
      <c r="A594" t="s">
        <v>929</v>
      </c>
      <c r="C594" s="30" t="s">
        <v>958</v>
      </c>
    </row>
    <row r="595" spans="1:3">
      <c r="A595" t="s">
        <v>929</v>
      </c>
      <c r="C595" s="30" t="s">
        <v>959</v>
      </c>
    </row>
    <row r="596" spans="1:3">
      <c r="A596" t="s">
        <v>929</v>
      </c>
      <c r="C596" s="30" t="s">
        <v>960</v>
      </c>
    </row>
    <row r="597" spans="1:3">
      <c r="A597" t="s">
        <v>929</v>
      </c>
      <c r="C597" s="30" t="s">
        <v>961</v>
      </c>
    </row>
    <row r="598" spans="1:3">
      <c r="A598" t="s">
        <v>929</v>
      </c>
      <c r="C598" s="30" t="s">
        <v>962</v>
      </c>
    </row>
    <row r="599" spans="1:3">
      <c r="A599" t="s">
        <v>929</v>
      </c>
      <c r="C599" s="30" t="s">
        <v>963</v>
      </c>
    </row>
    <row r="600" spans="1:3">
      <c r="A600" t="s">
        <v>929</v>
      </c>
      <c r="C600" s="30" t="s">
        <v>964</v>
      </c>
    </row>
    <row r="601" spans="1:3">
      <c r="A601" t="s">
        <v>929</v>
      </c>
      <c r="C601" s="30" t="s">
        <v>965</v>
      </c>
    </row>
    <row r="602" spans="1:3">
      <c r="A602" t="s">
        <v>929</v>
      </c>
      <c r="C602" s="30" t="s">
        <v>966</v>
      </c>
    </row>
    <row r="603" spans="1:3">
      <c r="A603" t="s">
        <v>929</v>
      </c>
      <c r="C603" s="30" t="s">
        <v>967</v>
      </c>
    </row>
    <row r="604" spans="1:3">
      <c r="A604" t="s">
        <v>929</v>
      </c>
      <c r="C604" s="30" t="s">
        <v>968</v>
      </c>
    </row>
    <row r="605" spans="1:3">
      <c r="A605" t="s">
        <v>929</v>
      </c>
      <c r="C605" s="30" t="s">
        <v>969</v>
      </c>
    </row>
    <row r="606" spans="1:3">
      <c r="A606" t="s">
        <v>929</v>
      </c>
      <c r="C606" s="30" t="s">
        <v>970</v>
      </c>
    </row>
    <row r="607" spans="1:3">
      <c r="A607" t="s">
        <v>929</v>
      </c>
      <c r="C607" s="30" t="s">
        <v>971</v>
      </c>
    </row>
    <row r="608" spans="1:3">
      <c r="A608" t="s">
        <v>929</v>
      </c>
      <c r="C608" s="30" t="s">
        <v>972</v>
      </c>
    </row>
    <row r="609" spans="1:3">
      <c r="A609" t="s">
        <v>929</v>
      </c>
      <c r="C609" s="30" t="s">
        <v>973</v>
      </c>
    </row>
    <row r="610" spans="1:3">
      <c r="A610" t="s">
        <v>929</v>
      </c>
      <c r="C610" s="30" t="s">
        <v>974</v>
      </c>
    </row>
  </sheetData>
  <autoFilter ref="A2:E544" xr:uid="{43585AF4-68F4-4291-9F70-7CDE9450F6A3}"/>
  <mergeCells count="1">
    <mergeCell ref="C1:D1"/>
  </mergeCells>
  <phoneticPr fontId="8" type="noConversion"/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5952-9CBC-4F82-AC33-15C89A711909}">
  <dimension ref="A1:E593"/>
  <sheetViews>
    <sheetView zoomScale="85" zoomScaleNormal="85" workbookViewId="0">
      <pane ySplit="2" topLeftCell="A584" activePane="bottomLeft" state="frozen"/>
      <selection pane="bottomLeft" activeCell="B2" sqref="B2"/>
    </sheetView>
  </sheetViews>
  <sheetFormatPr defaultColWidth="8.85546875" defaultRowHeight="15"/>
  <cols>
    <col min="1" max="1" width="43.140625" customWidth="1"/>
    <col min="2" max="2" width="90.42578125" customWidth="1"/>
    <col min="3" max="3" width="58.42578125" customWidth="1"/>
    <col min="4" max="4" width="44.7109375" customWidth="1"/>
    <col min="5" max="5" width="61.85546875" customWidth="1"/>
    <col min="6" max="6" width="17.140625" customWidth="1"/>
  </cols>
  <sheetData>
    <row r="1" spans="1:5" ht="24" customHeight="1">
      <c r="C1" s="117"/>
      <c r="D1" s="117"/>
    </row>
    <row r="2" spans="1:5">
      <c r="A2" s="6" t="s">
        <v>309</v>
      </c>
      <c r="B2" s="6" t="s">
        <v>310</v>
      </c>
      <c r="C2" s="6" t="s">
        <v>311</v>
      </c>
      <c r="D2" s="99" t="s">
        <v>312</v>
      </c>
      <c r="E2" s="6" t="s">
        <v>313</v>
      </c>
    </row>
    <row r="3" spans="1:5">
      <c r="A3" t="s">
        <v>918</v>
      </c>
      <c r="B3" t="s">
        <v>975</v>
      </c>
      <c r="C3" s="98" t="s">
        <v>88</v>
      </c>
      <c r="D3" t="s">
        <v>919</v>
      </c>
      <c r="E3" s="6"/>
    </row>
    <row r="4" spans="1:5">
      <c r="A4" t="s">
        <v>918</v>
      </c>
      <c r="B4" t="s">
        <v>976</v>
      </c>
      <c r="C4" s="98" t="s">
        <v>88</v>
      </c>
      <c r="D4" t="s">
        <v>920</v>
      </c>
      <c r="E4" s="6"/>
    </row>
    <row r="5" spans="1:5">
      <c r="A5" t="s">
        <v>918</v>
      </c>
      <c r="B5" t="s">
        <v>977</v>
      </c>
      <c r="C5" s="98" t="s">
        <v>88</v>
      </c>
      <c r="D5" t="s">
        <v>921</v>
      </c>
      <c r="E5" s="6"/>
    </row>
    <row r="6" spans="1:5">
      <c r="A6" t="s">
        <v>918</v>
      </c>
      <c r="B6" t="s">
        <v>978</v>
      </c>
      <c r="C6" s="98" t="s">
        <v>88</v>
      </c>
      <c r="D6" t="s">
        <v>922</v>
      </c>
      <c r="E6" s="6"/>
    </row>
    <row r="7" spans="1:5">
      <c r="A7" t="s">
        <v>918</v>
      </c>
      <c r="B7" t="s">
        <v>975</v>
      </c>
      <c r="C7" s="98" t="s">
        <v>88</v>
      </c>
      <c r="D7" t="s">
        <v>86</v>
      </c>
      <c r="E7" s="6"/>
    </row>
    <row r="8" spans="1:5">
      <c r="A8" t="s">
        <v>918</v>
      </c>
      <c r="B8" t="s">
        <v>979</v>
      </c>
      <c r="C8" s="98" t="s">
        <v>88</v>
      </c>
      <c r="D8" t="s">
        <v>923</v>
      </c>
      <c r="E8" s="6"/>
    </row>
    <row r="9" spans="1:5">
      <c r="A9" t="s">
        <v>349</v>
      </c>
      <c r="B9" t="s">
        <v>350</v>
      </c>
      <c r="C9" s="14" t="s">
        <v>96</v>
      </c>
      <c r="D9" s="101" t="s">
        <v>351</v>
      </c>
      <c r="E9" s="6"/>
    </row>
    <row r="10" spans="1:5">
      <c r="A10" t="s">
        <v>349</v>
      </c>
      <c r="B10" t="s">
        <v>95</v>
      </c>
      <c r="C10" s="14" t="s">
        <v>96</v>
      </c>
      <c r="D10" s="101" t="s">
        <v>352</v>
      </c>
      <c r="E10" s="6"/>
    </row>
    <row r="11" spans="1:5">
      <c r="A11" t="s">
        <v>349</v>
      </c>
      <c r="B11" t="s">
        <v>353</v>
      </c>
      <c r="C11" s="14" t="s">
        <v>96</v>
      </c>
      <c r="D11" s="101" t="s">
        <v>257</v>
      </c>
      <c r="E11" s="6"/>
    </row>
    <row r="12" spans="1:5">
      <c r="A12" t="s">
        <v>349</v>
      </c>
      <c r="B12" t="s">
        <v>354</v>
      </c>
      <c r="C12" s="14" t="s">
        <v>96</v>
      </c>
      <c r="D12" s="102" t="s">
        <v>355</v>
      </c>
      <c r="E12" s="6"/>
    </row>
    <row r="13" spans="1:5">
      <c r="A13" t="s">
        <v>349</v>
      </c>
      <c r="B13" t="s">
        <v>356</v>
      </c>
      <c r="C13" s="14" t="s">
        <v>96</v>
      </c>
      <c r="D13" s="102" t="s">
        <v>357</v>
      </c>
      <c r="E13" s="6"/>
    </row>
    <row r="14" spans="1:5">
      <c r="A14" t="s">
        <v>349</v>
      </c>
      <c r="B14" t="s">
        <v>358</v>
      </c>
      <c r="C14" s="14" t="s">
        <v>96</v>
      </c>
      <c r="D14" s="102" t="s">
        <v>359</v>
      </c>
      <c r="E14" s="6"/>
    </row>
    <row r="15" spans="1:5" ht="16.5">
      <c r="A15" t="s">
        <v>360</v>
      </c>
      <c r="B15" s="97" t="s">
        <v>361</v>
      </c>
      <c r="C15" s="14" t="s">
        <v>101</v>
      </c>
      <c r="D15" s="103" t="s">
        <v>362</v>
      </c>
    </row>
    <row r="16" spans="1:5" ht="16.5">
      <c r="A16" t="s">
        <v>360</v>
      </c>
      <c r="B16" s="97" t="s">
        <v>363</v>
      </c>
      <c r="C16" s="14" t="s">
        <v>101</v>
      </c>
      <c r="D16" s="103" t="s">
        <v>362</v>
      </c>
    </row>
    <row r="17" spans="1:4" ht="16.5">
      <c r="A17" t="s">
        <v>360</v>
      </c>
      <c r="B17" s="97" t="s">
        <v>364</v>
      </c>
      <c r="C17" s="14" t="s">
        <v>101</v>
      </c>
      <c r="D17" s="103" t="s">
        <v>362</v>
      </c>
    </row>
    <row r="18" spans="1:4" ht="16.5">
      <c r="A18" t="s">
        <v>360</v>
      </c>
      <c r="B18" s="97" t="s">
        <v>365</v>
      </c>
      <c r="C18" s="14" t="s">
        <v>101</v>
      </c>
      <c r="D18" s="103" t="s">
        <v>362</v>
      </c>
    </row>
    <row r="19" spans="1:4" ht="16.5">
      <c r="A19" t="s">
        <v>360</v>
      </c>
      <c r="B19" s="97" t="s">
        <v>366</v>
      </c>
      <c r="C19" s="14" t="s">
        <v>101</v>
      </c>
      <c r="D19" s="103" t="s">
        <v>362</v>
      </c>
    </row>
    <row r="20" spans="1:4" ht="16.5">
      <c r="A20" t="s">
        <v>360</v>
      </c>
      <c r="B20" s="97" t="s">
        <v>367</v>
      </c>
      <c r="C20" s="14" t="s">
        <v>101</v>
      </c>
      <c r="D20" s="103" t="s">
        <v>362</v>
      </c>
    </row>
    <row r="21" spans="1:4" ht="16.5">
      <c r="A21" t="s">
        <v>360</v>
      </c>
      <c r="B21" s="97" t="s">
        <v>368</v>
      </c>
      <c r="C21" s="14" t="s">
        <v>101</v>
      </c>
      <c r="D21" s="103" t="s">
        <v>362</v>
      </c>
    </row>
    <row r="22" spans="1:4" ht="16.5">
      <c r="A22" t="s">
        <v>360</v>
      </c>
      <c r="B22" s="97" t="s">
        <v>369</v>
      </c>
      <c r="C22" s="14" t="s">
        <v>101</v>
      </c>
      <c r="D22" s="103" t="s">
        <v>362</v>
      </c>
    </row>
    <row r="23" spans="1:4" ht="16.5">
      <c r="A23" t="s">
        <v>360</v>
      </c>
      <c r="B23" s="97" t="s">
        <v>370</v>
      </c>
      <c r="C23" s="14" t="s">
        <v>101</v>
      </c>
      <c r="D23" s="103" t="s">
        <v>362</v>
      </c>
    </row>
    <row r="24" spans="1:4" ht="16.5">
      <c r="A24" t="s">
        <v>360</v>
      </c>
      <c r="B24" s="97" t="s">
        <v>371</v>
      </c>
      <c r="C24" s="14" t="s">
        <v>101</v>
      </c>
      <c r="D24" s="103" t="s">
        <v>362</v>
      </c>
    </row>
    <row r="25" spans="1:4" ht="16.5">
      <c r="A25" t="s">
        <v>360</v>
      </c>
      <c r="B25" s="97" t="s">
        <v>372</v>
      </c>
      <c r="C25" s="14" t="s">
        <v>101</v>
      </c>
      <c r="D25" s="103" t="s">
        <v>362</v>
      </c>
    </row>
    <row r="26" spans="1:4" ht="16.5">
      <c r="A26" t="s">
        <v>360</v>
      </c>
      <c r="B26" s="97" t="s">
        <v>373</v>
      </c>
      <c r="C26" s="14" t="s">
        <v>101</v>
      </c>
      <c r="D26" s="103" t="s">
        <v>362</v>
      </c>
    </row>
    <row r="27" spans="1:4" ht="16.5">
      <c r="A27" t="s">
        <v>360</v>
      </c>
      <c r="B27" s="97" t="s">
        <v>374</v>
      </c>
      <c r="C27" s="14" t="s">
        <v>101</v>
      </c>
      <c r="D27" s="103" t="s">
        <v>362</v>
      </c>
    </row>
    <row r="28" spans="1:4" ht="16.5">
      <c r="A28" t="s">
        <v>360</v>
      </c>
      <c r="B28" s="97" t="s">
        <v>375</v>
      </c>
      <c r="C28" s="14" t="s">
        <v>101</v>
      </c>
      <c r="D28" s="103" t="s">
        <v>362</v>
      </c>
    </row>
    <row r="29" spans="1:4" ht="16.5">
      <c r="A29" t="s">
        <v>360</v>
      </c>
      <c r="B29" s="97" t="s">
        <v>376</v>
      </c>
      <c r="C29" s="14" t="s">
        <v>101</v>
      </c>
      <c r="D29" s="103" t="s">
        <v>362</v>
      </c>
    </row>
    <row r="30" spans="1:4" ht="16.5">
      <c r="A30" t="s">
        <v>360</v>
      </c>
      <c r="B30" s="97" t="s">
        <v>377</v>
      </c>
      <c r="C30" s="14" t="s">
        <v>101</v>
      </c>
      <c r="D30" s="103" t="s">
        <v>362</v>
      </c>
    </row>
    <row r="31" spans="1:4" ht="16.5">
      <c r="A31" t="s">
        <v>360</v>
      </c>
      <c r="B31" s="97" t="s">
        <v>378</v>
      </c>
      <c r="C31" s="14" t="s">
        <v>101</v>
      </c>
      <c r="D31" s="103" t="s">
        <v>362</v>
      </c>
    </row>
    <row r="32" spans="1:4" ht="16.5">
      <c r="A32" t="s">
        <v>360</v>
      </c>
      <c r="B32" s="97" t="s">
        <v>379</v>
      </c>
      <c r="C32" s="14" t="s">
        <v>101</v>
      </c>
      <c r="D32" s="103" t="s">
        <v>362</v>
      </c>
    </row>
    <row r="33" spans="1:4" ht="16.5">
      <c r="A33" t="s">
        <v>360</v>
      </c>
      <c r="B33" s="97" t="s">
        <v>380</v>
      </c>
      <c r="C33" s="14" t="s">
        <v>101</v>
      </c>
      <c r="D33" s="103" t="s">
        <v>362</v>
      </c>
    </row>
    <row r="34" spans="1:4" ht="16.5">
      <c r="A34" t="s">
        <v>360</v>
      </c>
      <c r="B34" s="97" t="s">
        <v>381</v>
      </c>
      <c r="C34" s="14" t="s">
        <v>101</v>
      </c>
      <c r="D34" s="103" t="s">
        <v>362</v>
      </c>
    </row>
    <row r="35" spans="1:4" ht="16.5">
      <c r="A35" t="s">
        <v>360</v>
      </c>
      <c r="B35" s="97" t="s">
        <v>382</v>
      </c>
      <c r="C35" s="14" t="s">
        <v>101</v>
      </c>
      <c r="D35" s="103" t="s">
        <v>362</v>
      </c>
    </row>
    <row r="36" spans="1:4" ht="16.5">
      <c r="A36" t="s">
        <v>360</v>
      </c>
      <c r="B36" s="97" t="s">
        <v>383</v>
      </c>
      <c r="C36" s="14" t="s">
        <v>101</v>
      </c>
      <c r="D36" s="103" t="s">
        <v>362</v>
      </c>
    </row>
    <row r="37" spans="1:4" ht="16.5">
      <c r="A37" t="s">
        <v>360</v>
      </c>
      <c r="B37" s="97" t="s">
        <v>384</v>
      </c>
      <c r="C37" s="14" t="s">
        <v>101</v>
      </c>
      <c r="D37" s="103" t="s">
        <v>362</v>
      </c>
    </row>
    <row r="38" spans="1:4" ht="16.5">
      <c r="A38" t="s">
        <v>360</v>
      </c>
      <c r="B38" s="97" t="s">
        <v>385</v>
      </c>
      <c r="C38" s="14" t="s">
        <v>101</v>
      </c>
      <c r="D38" s="103" t="s">
        <v>362</v>
      </c>
    </row>
    <row r="39" spans="1:4" ht="16.5">
      <c r="A39" t="s">
        <v>360</v>
      </c>
      <c r="B39" s="97" t="s">
        <v>386</v>
      </c>
      <c r="C39" s="14" t="s">
        <v>101</v>
      </c>
      <c r="D39" s="103" t="s">
        <v>362</v>
      </c>
    </row>
    <row r="40" spans="1:4" ht="16.5">
      <c r="A40" t="s">
        <v>360</v>
      </c>
      <c r="B40" s="97" t="s">
        <v>387</v>
      </c>
      <c r="C40" s="14" t="s">
        <v>101</v>
      </c>
      <c r="D40" s="103" t="s">
        <v>362</v>
      </c>
    </row>
    <row r="41" spans="1:4" ht="16.5">
      <c r="A41" t="s">
        <v>360</v>
      </c>
      <c r="B41" s="97" t="s">
        <v>388</v>
      </c>
      <c r="C41" s="14" t="s">
        <v>101</v>
      </c>
      <c r="D41" s="103" t="s">
        <v>362</v>
      </c>
    </row>
    <row r="42" spans="1:4" ht="16.5">
      <c r="A42" t="s">
        <v>360</v>
      </c>
      <c r="B42" s="97" t="s">
        <v>389</v>
      </c>
      <c r="C42" s="14" t="s">
        <v>101</v>
      </c>
      <c r="D42" s="103" t="s">
        <v>362</v>
      </c>
    </row>
    <row r="43" spans="1:4" ht="16.5">
      <c r="A43" t="s">
        <v>360</v>
      </c>
      <c r="B43" s="97" t="s">
        <v>390</v>
      </c>
      <c r="C43" s="14" t="s">
        <v>101</v>
      </c>
      <c r="D43" s="103" t="s">
        <v>362</v>
      </c>
    </row>
    <row r="44" spans="1:4" ht="16.5">
      <c r="A44" t="s">
        <v>360</v>
      </c>
      <c r="B44" s="97" t="s">
        <v>391</v>
      </c>
      <c r="C44" s="14" t="s">
        <v>101</v>
      </c>
      <c r="D44" s="103" t="s">
        <v>362</v>
      </c>
    </row>
    <row r="45" spans="1:4" ht="16.5">
      <c r="A45" t="s">
        <v>360</v>
      </c>
      <c r="B45" s="97" t="s">
        <v>392</v>
      </c>
      <c r="C45" s="14" t="s">
        <v>101</v>
      </c>
      <c r="D45" s="103" t="s">
        <v>362</v>
      </c>
    </row>
    <row r="46" spans="1:4" ht="16.5">
      <c r="A46" t="s">
        <v>360</v>
      </c>
      <c r="B46" s="97" t="s">
        <v>393</v>
      </c>
      <c r="C46" s="14" t="s">
        <v>101</v>
      </c>
      <c r="D46" s="103" t="s">
        <v>362</v>
      </c>
    </row>
    <row r="47" spans="1:4" ht="16.5">
      <c r="A47" t="s">
        <v>360</v>
      </c>
      <c r="B47" s="97" t="s">
        <v>394</v>
      </c>
      <c r="C47" s="14" t="s">
        <v>101</v>
      </c>
      <c r="D47" s="103" t="s">
        <v>362</v>
      </c>
    </row>
    <row r="48" spans="1:4" ht="16.5">
      <c r="A48" t="s">
        <v>360</v>
      </c>
      <c r="B48" s="97" t="s">
        <v>395</v>
      </c>
      <c r="C48" s="14" t="s">
        <v>101</v>
      </c>
      <c r="D48" s="103" t="s">
        <v>362</v>
      </c>
    </row>
    <row r="49" spans="1:4" ht="16.5">
      <c r="A49" t="s">
        <v>360</v>
      </c>
      <c r="B49" s="97" t="s">
        <v>396</v>
      </c>
      <c r="C49" s="14" t="s">
        <v>101</v>
      </c>
      <c r="D49" s="103" t="s">
        <v>362</v>
      </c>
    </row>
    <row r="50" spans="1:4" ht="16.5">
      <c r="A50" t="s">
        <v>360</v>
      </c>
      <c r="B50" s="97" t="s">
        <v>397</v>
      </c>
      <c r="C50" s="14" t="s">
        <v>101</v>
      </c>
      <c r="D50" s="103" t="s">
        <v>362</v>
      </c>
    </row>
    <row r="51" spans="1:4" ht="16.5">
      <c r="A51" t="s">
        <v>360</v>
      </c>
      <c r="B51" s="97" t="s">
        <v>398</v>
      </c>
      <c r="C51" s="14" t="s">
        <v>101</v>
      </c>
      <c r="D51" s="103" t="s">
        <v>362</v>
      </c>
    </row>
    <row r="52" spans="1:4" ht="16.5">
      <c r="A52" t="s">
        <v>360</v>
      </c>
      <c r="B52" s="97" t="s">
        <v>100</v>
      </c>
      <c r="C52" s="14" t="s">
        <v>101</v>
      </c>
      <c r="D52" s="103" t="s">
        <v>362</v>
      </c>
    </row>
    <row r="53" spans="1:4" ht="16.5">
      <c r="A53" t="s">
        <v>360</v>
      </c>
      <c r="B53" s="97" t="s">
        <v>399</v>
      </c>
      <c r="C53" s="14" t="s">
        <v>101</v>
      </c>
      <c r="D53" s="103" t="s">
        <v>362</v>
      </c>
    </row>
    <row r="54" spans="1:4" ht="16.5">
      <c r="A54" t="s">
        <v>360</v>
      </c>
      <c r="B54" s="97" t="s">
        <v>400</v>
      </c>
      <c r="C54" s="14" t="s">
        <v>101</v>
      </c>
      <c r="D54" s="103" t="s">
        <v>362</v>
      </c>
    </row>
    <row r="55" spans="1:4" ht="16.5">
      <c r="A55" t="s">
        <v>360</v>
      </c>
      <c r="B55" s="97" t="s">
        <v>401</v>
      </c>
      <c r="C55" s="14" t="s">
        <v>101</v>
      </c>
      <c r="D55" s="103" t="s">
        <v>362</v>
      </c>
    </row>
    <row r="56" spans="1:4" ht="16.5">
      <c r="A56" t="s">
        <v>360</v>
      </c>
      <c r="B56" s="97" t="s">
        <v>402</v>
      </c>
      <c r="C56" s="14" t="s">
        <v>101</v>
      </c>
      <c r="D56" s="103" t="s">
        <v>362</v>
      </c>
    </row>
    <row r="57" spans="1:4" ht="16.5">
      <c r="A57" t="s">
        <v>360</v>
      </c>
      <c r="B57" s="97" t="s">
        <v>403</v>
      </c>
      <c r="C57" s="14" t="s">
        <v>101</v>
      </c>
      <c r="D57" s="103" t="s">
        <v>362</v>
      </c>
    </row>
    <row r="58" spans="1:4" ht="16.5">
      <c r="A58" t="s">
        <v>360</v>
      </c>
      <c r="B58" s="97" t="s">
        <v>404</v>
      </c>
      <c r="C58" s="14" t="s">
        <v>101</v>
      </c>
      <c r="D58" s="103" t="s">
        <v>362</v>
      </c>
    </row>
    <row r="59" spans="1:4" ht="16.5">
      <c r="A59" t="s">
        <v>360</v>
      </c>
      <c r="B59" s="97" t="s">
        <v>405</v>
      </c>
      <c r="C59" s="14" t="s">
        <v>101</v>
      </c>
      <c r="D59" s="103" t="s">
        <v>362</v>
      </c>
    </row>
    <row r="60" spans="1:4" ht="16.5">
      <c r="A60" t="s">
        <v>360</v>
      </c>
      <c r="B60" s="97" t="s">
        <v>406</v>
      </c>
      <c r="C60" s="14" t="s">
        <v>101</v>
      </c>
      <c r="D60" s="103" t="s">
        <v>362</v>
      </c>
    </row>
    <row r="61" spans="1:4" ht="16.5">
      <c r="A61" t="s">
        <v>360</v>
      </c>
      <c r="B61" s="97" t="s">
        <v>407</v>
      </c>
      <c r="C61" s="14" t="s">
        <v>101</v>
      </c>
      <c r="D61" s="103" t="s">
        <v>362</v>
      </c>
    </row>
    <row r="62" spans="1:4" ht="16.5">
      <c r="A62" t="s">
        <v>360</v>
      </c>
      <c r="B62" s="97" t="s">
        <v>408</v>
      </c>
      <c r="C62" s="14" t="s">
        <v>101</v>
      </c>
      <c r="D62" s="103" t="s">
        <v>362</v>
      </c>
    </row>
    <row r="63" spans="1:4" ht="16.5">
      <c r="A63" t="s">
        <v>360</v>
      </c>
      <c r="B63" s="97" t="s">
        <v>409</v>
      </c>
      <c r="C63" s="14" t="s">
        <v>101</v>
      </c>
      <c r="D63" s="103" t="s">
        <v>362</v>
      </c>
    </row>
    <row r="64" spans="1:4" ht="16.5">
      <c r="A64" t="s">
        <v>360</v>
      </c>
      <c r="B64" s="97" t="s">
        <v>410</v>
      </c>
      <c r="C64" s="14" t="s">
        <v>101</v>
      </c>
      <c r="D64" s="103" t="s">
        <v>362</v>
      </c>
    </row>
    <row r="65" spans="1:4" ht="16.5">
      <c r="A65" t="s">
        <v>360</v>
      </c>
      <c r="B65" s="97" t="s">
        <v>411</v>
      </c>
      <c r="C65" s="14" t="s">
        <v>101</v>
      </c>
      <c r="D65" s="103" t="s">
        <v>362</v>
      </c>
    </row>
    <row r="66" spans="1:4" ht="16.5">
      <c r="A66" t="s">
        <v>360</v>
      </c>
      <c r="B66" s="97" t="s">
        <v>412</v>
      </c>
      <c r="C66" s="14" t="s">
        <v>101</v>
      </c>
      <c r="D66" s="103" t="s">
        <v>362</v>
      </c>
    </row>
    <row r="67" spans="1:4" ht="16.5">
      <c r="A67" t="s">
        <v>360</v>
      </c>
      <c r="B67" s="97" t="s">
        <v>413</v>
      </c>
      <c r="C67" s="14" t="s">
        <v>101</v>
      </c>
      <c r="D67" s="103" t="s">
        <v>362</v>
      </c>
    </row>
    <row r="68" spans="1:4" ht="16.5">
      <c r="A68" t="s">
        <v>360</v>
      </c>
      <c r="B68" s="97" t="s">
        <v>414</v>
      </c>
      <c r="C68" s="14" t="s">
        <v>101</v>
      </c>
      <c r="D68" s="103" t="s">
        <v>362</v>
      </c>
    </row>
    <row r="69" spans="1:4" ht="16.5">
      <c r="A69" t="s">
        <v>360</v>
      </c>
      <c r="B69" s="97" t="s">
        <v>415</v>
      </c>
      <c r="C69" s="14" t="s">
        <v>101</v>
      </c>
      <c r="D69" s="103" t="s">
        <v>362</v>
      </c>
    </row>
    <row r="70" spans="1:4" ht="16.5">
      <c r="A70" t="s">
        <v>360</v>
      </c>
      <c r="B70" s="97" t="s">
        <v>416</v>
      </c>
      <c r="C70" s="14" t="s">
        <v>101</v>
      </c>
      <c r="D70" s="103" t="s">
        <v>362</v>
      </c>
    </row>
    <row r="71" spans="1:4" ht="16.5">
      <c r="A71" t="s">
        <v>360</v>
      </c>
      <c r="B71" s="97" t="s">
        <v>417</v>
      </c>
      <c r="C71" s="14" t="s">
        <v>101</v>
      </c>
      <c r="D71" s="103" t="s">
        <v>362</v>
      </c>
    </row>
    <row r="72" spans="1:4" ht="16.5">
      <c r="A72" t="s">
        <v>360</v>
      </c>
      <c r="B72" s="97" t="s">
        <v>418</v>
      </c>
      <c r="C72" s="14" t="s">
        <v>101</v>
      </c>
      <c r="D72" s="103" t="s">
        <v>362</v>
      </c>
    </row>
    <row r="73" spans="1:4" ht="16.5">
      <c r="A73" t="s">
        <v>360</v>
      </c>
      <c r="B73" s="97" t="s">
        <v>419</v>
      </c>
      <c r="C73" s="14" t="s">
        <v>101</v>
      </c>
      <c r="D73" s="103" t="s">
        <v>362</v>
      </c>
    </row>
    <row r="74" spans="1:4" ht="16.5">
      <c r="A74" t="s">
        <v>360</v>
      </c>
      <c r="B74" s="97" t="s">
        <v>420</v>
      </c>
      <c r="C74" s="14" t="s">
        <v>101</v>
      </c>
      <c r="D74" s="103" t="s">
        <v>362</v>
      </c>
    </row>
    <row r="75" spans="1:4" ht="16.5">
      <c r="A75" t="s">
        <v>360</v>
      </c>
      <c r="B75" s="97" t="s">
        <v>421</v>
      </c>
      <c r="C75" s="14" t="s">
        <v>101</v>
      </c>
      <c r="D75" s="103" t="s">
        <v>362</v>
      </c>
    </row>
    <row r="76" spans="1:4" ht="16.5">
      <c r="A76" t="s">
        <v>360</v>
      </c>
      <c r="B76" s="97" t="s">
        <v>422</v>
      </c>
      <c r="C76" s="14" t="s">
        <v>101</v>
      </c>
      <c r="D76" s="103" t="s">
        <v>362</v>
      </c>
    </row>
    <row r="77" spans="1:4" ht="16.5">
      <c r="A77" t="s">
        <v>360</v>
      </c>
      <c r="B77" s="97" t="s">
        <v>423</v>
      </c>
      <c r="C77" s="14" t="s">
        <v>101</v>
      </c>
      <c r="D77" s="103" t="s">
        <v>362</v>
      </c>
    </row>
    <row r="78" spans="1:4" ht="16.5">
      <c r="A78" t="s">
        <v>360</v>
      </c>
      <c r="B78" s="97" t="s">
        <v>424</v>
      </c>
      <c r="C78" s="14" t="s">
        <v>101</v>
      </c>
      <c r="D78" s="103" t="s">
        <v>362</v>
      </c>
    </row>
    <row r="79" spans="1:4" ht="16.5">
      <c r="A79" t="s">
        <v>360</v>
      </c>
      <c r="B79" s="97" t="s">
        <v>425</v>
      </c>
      <c r="C79" s="14" t="s">
        <v>101</v>
      </c>
      <c r="D79" s="103" t="s">
        <v>362</v>
      </c>
    </row>
    <row r="80" spans="1:4" ht="16.5">
      <c r="A80" t="s">
        <v>360</v>
      </c>
      <c r="B80" s="97" t="s">
        <v>426</v>
      </c>
      <c r="C80" s="14" t="s">
        <v>101</v>
      </c>
      <c r="D80" s="103" t="s">
        <v>362</v>
      </c>
    </row>
    <row r="81" spans="1:4" ht="16.5">
      <c r="A81" t="s">
        <v>360</v>
      </c>
      <c r="B81" s="97" t="s">
        <v>427</v>
      </c>
      <c r="C81" s="14" t="s">
        <v>101</v>
      </c>
      <c r="D81" s="103" t="s">
        <v>362</v>
      </c>
    </row>
    <row r="82" spans="1:4" ht="16.5">
      <c r="A82" t="s">
        <v>360</v>
      </c>
      <c r="B82" s="97" t="s">
        <v>428</v>
      </c>
      <c r="C82" s="14" t="s">
        <v>101</v>
      </c>
      <c r="D82" s="103" t="s">
        <v>362</v>
      </c>
    </row>
    <row r="83" spans="1:4" ht="16.5">
      <c r="A83" t="s">
        <v>360</v>
      </c>
      <c r="B83" s="97" t="s">
        <v>429</v>
      </c>
      <c r="C83" s="14" t="s">
        <v>101</v>
      </c>
      <c r="D83" s="103" t="s">
        <v>362</v>
      </c>
    </row>
    <row r="84" spans="1:4" ht="16.5">
      <c r="A84" t="s">
        <v>360</v>
      </c>
      <c r="B84" s="97" t="s">
        <v>430</v>
      </c>
      <c r="C84" s="14" t="s">
        <v>101</v>
      </c>
      <c r="D84" s="103" t="s">
        <v>362</v>
      </c>
    </row>
    <row r="85" spans="1:4" ht="16.5">
      <c r="A85" t="s">
        <v>360</v>
      </c>
      <c r="B85" s="97" t="s">
        <v>431</v>
      </c>
      <c r="C85" s="14" t="s">
        <v>101</v>
      </c>
      <c r="D85" s="103" t="s">
        <v>362</v>
      </c>
    </row>
    <row r="86" spans="1:4" ht="16.5">
      <c r="A86" t="s">
        <v>360</v>
      </c>
      <c r="B86" s="97" t="s">
        <v>432</v>
      </c>
      <c r="C86" s="14" t="s">
        <v>101</v>
      </c>
      <c r="D86" s="103" t="s">
        <v>362</v>
      </c>
    </row>
    <row r="87" spans="1:4" ht="16.5">
      <c r="A87" t="s">
        <v>360</v>
      </c>
      <c r="B87" s="97" t="s">
        <v>433</v>
      </c>
      <c r="C87" s="14" t="s">
        <v>101</v>
      </c>
      <c r="D87" s="103" t="s">
        <v>362</v>
      </c>
    </row>
    <row r="88" spans="1:4" ht="16.5">
      <c r="A88" t="s">
        <v>360</v>
      </c>
      <c r="B88" s="97" t="s">
        <v>434</v>
      </c>
      <c r="C88" s="14" t="s">
        <v>101</v>
      </c>
      <c r="D88" s="103" t="s">
        <v>362</v>
      </c>
    </row>
    <row r="89" spans="1:4" ht="16.5">
      <c r="A89" t="s">
        <v>360</v>
      </c>
      <c r="B89" s="97" t="s">
        <v>435</v>
      </c>
      <c r="C89" s="14" t="s">
        <v>101</v>
      </c>
      <c r="D89" s="103" t="s">
        <v>362</v>
      </c>
    </row>
    <row r="90" spans="1:4" ht="16.5">
      <c r="A90" t="s">
        <v>360</v>
      </c>
      <c r="B90" s="97" t="s">
        <v>436</v>
      </c>
      <c r="C90" s="14" t="s">
        <v>101</v>
      </c>
      <c r="D90" s="103" t="s">
        <v>362</v>
      </c>
    </row>
    <row r="91" spans="1:4" ht="16.5">
      <c r="A91" t="s">
        <v>360</v>
      </c>
      <c r="B91" s="97" t="s">
        <v>437</v>
      </c>
      <c r="C91" s="14" t="s">
        <v>101</v>
      </c>
      <c r="D91" s="103" t="s">
        <v>362</v>
      </c>
    </row>
    <row r="92" spans="1:4" ht="16.5">
      <c r="A92" t="s">
        <v>360</v>
      </c>
      <c r="B92" s="97" t="s">
        <v>438</v>
      </c>
      <c r="C92" s="14" t="s">
        <v>101</v>
      </c>
      <c r="D92" s="103" t="s">
        <v>362</v>
      </c>
    </row>
    <row r="93" spans="1:4" ht="16.5">
      <c r="A93" t="s">
        <v>360</v>
      </c>
      <c r="B93" s="97" t="s">
        <v>439</v>
      </c>
      <c r="C93" s="14" t="s">
        <v>101</v>
      </c>
      <c r="D93" s="103" t="s">
        <v>362</v>
      </c>
    </row>
    <row r="94" spans="1:4" ht="16.5">
      <c r="A94" t="s">
        <v>360</v>
      </c>
      <c r="B94" s="97" t="s">
        <v>440</v>
      </c>
      <c r="C94" s="14" t="s">
        <v>101</v>
      </c>
      <c r="D94" s="103" t="s">
        <v>362</v>
      </c>
    </row>
    <row r="95" spans="1:4" ht="16.5">
      <c r="A95" t="s">
        <v>360</v>
      </c>
      <c r="B95" s="97" t="s">
        <v>441</v>
      </c>
      <c r="C95" s="14" t="s">
        <v>101</v>
      </c>
      <c r="D95" s="103" t="s">
        <v>362</v>
      </c>
    </row>
    <row r="96" spans="1:4" ht="16.5">
      <c r="A96" t="s">
        <v>360</v>
      </c>
      <c r="B96" s="97" t="s">
        <v>442</v>
      </c>
      <c r="C96" s="14" t="s">
        <v>101</v>
      </c>
      <c r="D96" s="103" t="s">
        <v>362</v>
      </c>
    </row>
    <row r="97" spans="1:4" ht="16.5">
      <c r="A97" t="s">
        <v>360</v>
      </c>
      <c r="B97" s="97" t="s">
        <v>443</v>
      </c>
      <c r="C97" s="14" t="s">
        <v>101</v>
      </c>
      <c r="D97" s="103" t="s">
        <v>362</v>
      </c>
    </row>
    <row r="98" spans="1:4" ht="16.5">
      <c r="A98" t="s">
        <v>360</v>
      </c>
      <c r="B98" s="97" t="s">
        <v>444</v>
      </c>
      <c r="C98" s="14" t="s">
        <v>101</v>
      </c>
      <c r="D98" s="103" t="s">
        <v>362</v>
      </c>
    </row>
    <row r="99" spans="1:4" ht="16.5">
      <c r="A99" t="s">
        <v>360</v>
      </c>
      <c r="B99" s="97" t="s">
        <v>445</v>
      </c>
      <c r="C99" s="14" t="s">
        <v>101</v>
      </c>
      <c r="D99" s="103" t="s">
        <v>362</v>
      </c>
    </row>
    <row r="100" spans="1:4" ht="16.5">
      <c r="A100" t="s">
        <v>360</v>
      </c>
      <c r="B100" s="97" t="s">
        <v>446</v>
      </c>
      <c r="C100" s="14" t="s">
        <v>101</v>
      </c>
      <c r="D100" s="103" t="s">
        <v>362</v>
      </c>
    </row>
    <row r="101" spans="1:4" ht="16.5">
      <c r="A101" t="s">
        <v>360</v>
      </c>
      <c r="B101" s="97" t="s">
        <v>447</v>
      </c>
      <c r="C101" s="14" t="s">
        <v>101</v>
      </c>
      <c r="D101" s="103" t="s">
        <v>362</v>
      </c>
    </row>
    <row r="102" spans="1:4" ht="16.5">
      <c r="A102" t="s">
        <v>360</v>
      </c>
      <c r="B102" s="97" t="s">
        <v>448</v>
      </c>
      <c r="C102" s="14" t="s">
        <v>101</v>
      </c>
      <c r="D102" s="103" t="s">
        <v>362</v>
      </c>
    </row>
    <row r="103" spans="1:4" ht="16.5">
      <c r="A103" t="s">
        <v>360</v>
      </c>
      <c r="B103" s="97" t="s">
        <v>449</v>
      </c>
      <c r="C103" s="14" t="s">
        <v>101</v>
      </c>
      <c r="D103" s="103" t="s">
        <v>362</v>
      </c>
    </row>
    <row r="104" spans="1:4" ht="16.5">
      <c r="A104" t="s">
        <v>360</v>
      </c>
      <c r="B104" s="97" t="s">
        <v>450</v>
      </c>
      <c r="C104" s="14" t="s">
        <v>101</v>
      </c>
      <c r="D104" s="103" t="s">
        <v>362</v>
      </c>
    </row>
    <row r="105" spans="1:4" ht="16.5">
      <c r="A105" t="s">
        <v>360</v>
      </c>
      <c r="B105" s="97" t="s">
        <v>451</v>
      </c>
      <c r="C105" s="14" t="s">
        <v>101</v>
      </c>
      <c r="D105" s="103" t="s">
        <v>362</v>
      </c>
    </row>
    <row r="106" spans="1:4" ht="16.5">
      <c r="A106" t="s">
        <v>360</v>
      </c>
      <c r="B106" s="97" t="s">
        <v>452</v>
      </c>
      <c r="C106" s="14" t="s">
        <v>101</v>
      </c>
      <c r="D106" s="103" t="s">
        <v>362</v>
      </c>
    </row>
    <row r="107" spans="1:4" ht="16.5">
      <c r="A107" t="s">
        <v>360</v>
      </c>
      <c r="B107" s="97" t="s">
        <v>453</v>
      </c>
      <c r="C107" s="14" t="s">
        <v>101</v>
      </c>
      <c r="D107" s="103" t="s">
        <v>362</v>
      </c>
    </row>
    <row r="108" spans="1:4" ht="16.5">
      <c r="A108" t="s">
        <v>360</v>
      </c>
      <c r="B108" s="97" t="s">
        <v>454</v>
      </c>
      <c r="C108" s="14" t="s">
        <v>101</v>
      </c>
      <c r="D108" s="103" t="s">
        <v>362</v>
      </c>
    </row>
    <row r="109" spans="1:4" ht="16.5">
      <c r="A109" t="s">
        <v>360</v>
      </c>
      <c r="B109" s="97" t="s">
        <v>455</v>
      </c>
      <c r="C109" s="14" t="s">
        <v>101</v>
      </c>
      <c r="D109" s="103" t="s">
        <v>362</v>
      </c>
    </row>
    <row r="110" spans="1:4" ht="16.5">
      <c r="A110" t="s">
        <v>360</v>
      </c>
      <c r="B110" s="97" t="s">
        <v>456</v>
      </c>
      <c r="C110" s="14" t="s">
        <v>101</v>
      </c>
      <c r="D110" s="103" t="s">
        <v>362</v>
      </c>
    </row>
    <row r="111" spans="1:4" ht="16.5">
      <c r="A111" t="s">
        <v>360</v>
      </c>
      <c r="B111" s="97" t="s">
        <v>457</v>
      </c>
      <c r="C111" s="14" t="s">
        <v>101</v>
      </c>
      <c r="D111" s="103" t="s">
        <v>362</v>
      </c>
    </row>
    <row r="112" spans="1:4" ht="16.5">
      <c r="A112" t="s">
        <v>360</v>
      </c>
      <c r="B112" s="97" t="s">
        <v>458</v>
      </c>
      <c r="C112" s="14" t="s">
        <v>101</v>
      </c>
      <c r="D112" s="103" t="s">
        <v>362</v>
      </c>
    </row>
    <row r="113" spans="1:4" ht="16.5">
      <c r="A113" t="s">
        <v>360</v>
      </c>
      <c r="B113" s="97" t="s">
        <v>459</v>
      </c>
      <c r="C113" s="14" t="s">
        <v>101</v>
      </c>
      <c r="D113" s="103" t="s">
        <v>362</v>
      </c>
    </row>
    <row r="114" spans="1:4" ht="16.5">
      <c r="A114" t="s">
        <v>360</v>
      </c>
      <c r="B114" s="97" t="s">
        <v>460</v>
      </c>
      <c r="C114" s="14" t="s">
        <v>101</v>
      </c>
      <c r="D114" s="103" t="s">
        <v>362</v>
      </c>
    </row>
    <row r="115" spans="1:4" ht="16.5">
      <c r="A115" t="s">
        <v>360</v>
      </c>
      <c r="B115" s="97" t="s">
        <v>461</v>
      </c>
      <c r="C115" s="14" t="s">
        <v>101</v>
      </c>
      <c r="D115" s="103" t="s">
        <v>362</v>
      </c>
    </row>
    <row r="116" spans="1:4" ht="16.5">
      <c r="A116" t="s">
        <v>360</v>
      </c>
      <c r="B116" s="97" t="s">
        <v>462</v>
      </c>
      <c r="C116" s="14" t="s">
        <v>101</v>
      </c>
      <c r="D116" s="103" t="s">
        <v>362</v>
      </c>
    </row>
    <row r="117" spans="1:4" ht="16.5">
      <c r="A117" t="s">
        <v>360</v>
      </c>
      <c r="B117" s="97" t="s">
        <v>463</v>
      </c>
      <c r="C117" s="14" t="s">
        <v>101</v>
      </c>
      <c r="D117" s="103" t="s">
        <v>362</v>
      </c>
    </row>
    <row r="118" spans="1:4" ht="16.5">
      <c r="A118" t="s">
        <v>360</v>
      </c>
      <c r="B118" s="97" t="s">
        <v>464</v>
      </c>
      <c r="C118" s="14" t="s">
        <v>101</v>
      </c>
      <c r="D118" s="103" t="s">
        <v>362</v>
      </c>
    </row>
    <row r="119" spans="1:4" ht="16.5">
      <c r="A119" t="s">
        <v>360</v>
      </c>
      <c r="B119" s="97" t="s">
        <v>465</v>
      </c>
      <c r="C119" s="14" t="s">
        <v>101</v>
      </c>
      <c r="D119" s="103" t="s">
        <v>362</v>
      </c>
    </row>
    <row r="120" spans="1:4" ht="16.5">
      <c r="A120" t="s">
        <v>360</v>
      </c>
      <c r="B120" s="97" t="s">
        <v>466</v>
      </c>
      <c r="C120" s="14" t="s">
        <v>101</v>
      </c>
      <c r="D120" s="103" t="s">
        <v>362</v>
      </c>
    </row>
    <row r="121" spans="1:4" ht="16.5">
      <c r="A121" t="s">
        <v>360</v>
      </c>
      <c r="B121" s="97" t="s">
        <v>467</v>
      </c>
      <c r="C121" s="14" t="s">
        <v>101</v>
      </c>
      <c r="D121" s="103" t="s">
        <v>362</v>
      </c>
    </row>
    <row r="122" spans="1:4" ht="16.5">
      <c r="A122" t="s">
        <v>360</v>
      </c>
      <c r="B122" s="97" t="s">
        <v>468</v>
      </c>
      <c r="C122" s="14" t="s">
        <v>101</v>
      </c>
      <c r="D122" s="103" t="s">
        <v>362</v>
      </c>
    </row>
    <row r="123" spans="1:4" ht="16.5">
      <c r="A123" t="s">
        <v>360</v>
      </c>
      <c r="B123" s="97" t="s">
        <v>469</v>
      </c>
      <c r="C123" s="14" t="s">
        <v>101</v>
      </c>
      <c r="D123" s="103" t="s">
        <v>362</v>
      </c>
    </row>
    <row r="124" spans="1:4" ht="16.5">
      <c r="A124" t="s">
        <v>360</v>
      </c>
      <c r="B124" s="97" t="s">
        <v>470</v>
      </c>
      <c r="C124" s="14" t="s">
        <v>101</v>
      </c>
      <c r="D124" s="103" t="s">
        <v>362</v>
      </c>
    </row>
    <row r="125" spans="1:4" ht="16.5">
      <c r="A125" t="s">
        <v>360</v>
      </c>
      <c r="B125" s="97" t="s">
        <v>471</v>
      </c>
      <c r="C125" s="14" t="s">
        <v>101</v>
      </c>
      <c r="D125" s="103" t="s">
        <v>362</v>
      </c>
    </row>
    <row r="126" spans="1:4" ht="16.5">
      <c r="A126" t="s">
        <v>360</v>
      </c>
      <c r="B126" s="97" t="s">
        <v>472</v>
      </c>
      <c r="C126" s="14" t="s">
        <v>101</v>
      </c>
      <c r="D126" s="103" t="s">
        <v>362</v>
      </c>
    </row>
    <row r="127" spans="1:4" ht="16.5">
      <c r="A127" t="s">
        <v>360</v>
      </c>
      <c r="B127" s="97" t="s">
        <v>473</v>
      </c>
      <c r="C127" s="14" t="s">
        <v>101</v>
      </c>
      <c r="D127" s="103" t="s">
        <v>362</v>
      </c>
    </row>
    <row r="128" spans="1:4" ht="16.5">
      <c r="A128" t="s">
        <v>360</v>
      </c>
      <c r="B128" s="97" t="s">
        <v>474</v>
      </c>
      <c r="C128" s="14" t="s">
        <v>101</v>
      </c>
      <c r="D128" s="103" t="s">
        <v>362</v>
      </c>
    </row>
    <row r="129" spans="1:4" ht="16.5">
      <c r="A129" t="s">
        <v>360</v>
      </c>
      <c r="B129" s="97" t="s">
        <v>475</v>
      </c>
      <c r="C129" s="14" t="s">
        <v>101</v>
      </c>
      <c r="D129" s="103" t="s">
        <v>362</v>
      </c>
    </row>
    <row r="130" spans="1:4" ht="16.5">
      <c r="A130" t="s">
        <v>360</v>
      </c>
      <c r="B130" s="97" t="s">
        <v>476</v>
      </c>
      <c r="C130" s="14" t="s">
        <v>101</v>
      </c>
      <c r="D130" s="103" t="s">
        <v>362</v>
      </c>
    </row>
    <row r="131" spans="1:4" ht="16.5">
      <c r="A131" t="s">
        <v>360</v>
      </c>
      <c r="B131" s="97" t="s">
        <v>477</v>
      </c>
      <c r="C131" s="14" t="s">
        <v>101</v>
      </c>
      <c r="D131" s="103" t="s">
        <v>362</v>
      </c>
    </row>
    <row r="132" spans="1:4" ht="16.5">
      <c r="A132" t="s">
        <v>360</v>
      </c>
      <c r="B132" s="97" t="s">
        <v>478</v>
      </c>
      <c r="C132" s="14" t="s">
        <v>101</v>
      </c>
      <c r="D132" s="103" t="s">
        <v>362</v>
      </c>
    </row>
    <row r="133" spans="1:4" ht="16.5">
      <c r="A133" t="s">
        <v>360</v>
      </c>
      <c r="B133" s="97" t="s">
        <v>479</v>
      </c>
      <c r="C133" s="14" t="s">
        <v>101</v>
      </c>
      <c r="D133" s="103" t="s">
        <v>362</v>
      </c>
    </row>
    <row r="134" spans="1:4" ht="16.5">
      <c r="A134" t="s">
        <v>360</v>
      </c>
      <c r="B134" s="97" t="s">
        <v>480</v>
      </c>
      <c r="C134" s="14" t="s">
        <v>101</v>
      </c>
      <c r="D134" s="103" t="s">
        <v>362</v>
      </c>
    </row>
    <row r="135" spans="1:4" ht="16.5">
      <c r="A135" t="s">
        <v>360</v>
      </c>
      <c r="B135" s="97" t="s">
        <v>481</v>
      </c>
      <c r="C135" s="14" t="s">
        <v>101</v>
      </c>
      <c r="D135" s="103" t="s">
        <v>362</v>
      </c>
    </row>
    <row r="136" spans="1:4" ht="16.5">
      <c r="A136" t="s">
        <v>360</v>
      </c>
      <c r="B136" s="97" t="s">
        <v>482</v>
      </c>
      <c r="C136" s="14" t="s">
        <v>101</v>
      </c>
      <c r="D136" s="103" t="s">
        <v>362</v>
      </c>
    </row>
    <row r="137" spans="1:4" ht="16.5">
      <c r="A137" t="s">
        <v>360</v>
      </c>
      <c r="B137" s="97" t="s">
        <v>483</v>
      </c>
      <c r="C137" s="14" t="s">
        <v>101</v>
      </c>
      <c r="D137" s="103" t="s">
        <v>362</v>
      </c>
    </row>
    <row r="138" spans="1:4" ht="16.5">
      <c r="A138" t="s">
        <v>360</v>
      </c>
      <c r="B138" s="97" t="s">
        <v>484</v>
      </c>
      <c r="C138" s="14" t="s">
        <v>101</v>
      </c>
      <c r="D138" s="103" t="s">
        <v>362</v>
      </c>
    </row>
    <row r="139" spans="1:4" ht="16.5">
      <c r="A139" t="s">
        <v>360</v>
      </c>
      <c r="B139" s="97" t="s">
        <v>485</v>
      </c>
      <c r="C139" s="14" t="s">
        <v>101</v>
      </c>
      <c r="D139" s="103" t="s">
        <v>362</v>
      </c>
    </row>
    <row r="140" spans="1:4" ht="16.5">
      <c r="A140" t="s">
        <v>360</v>
      </c>
      <c r="B140" s="97" t="s">
        <v>486</v>
      </c>
      <c r="C140" s="14" t="s">
        <v>101</v>
      </c>
      <c r="D140" s="103" t="s">
        <v>362</v>
      </c>
    </row>
    <row r="141" spans="1:4" ht="16.5">
      <c r="A141" t="s">
        <v>360</v>
      </c>
      <c r="B141" s="97" t="s">
        <v>487</v>
      </c>
      <c r="C141" s="14" t="s">
        <v>101</v>
      </c>
      <c r="D141" s="103" t="s">
        <v>362</v>
      </c>
    </row>
    <row r="142" spans="1:4" ht="16.5">
      <c r="A142" t="s">
        <v>360</v>
      </c>
      <c r="B142" s="97" t="s">
        <v>488</v>
      </c>
      <c r="C142" s="14" t="s">
        <v>101</v>
      </c>
      <c r="D142" s="103" t="s">
        <v>362</v>
      </c>
    </row>
    <row r="143" spans="1:4" ht="16.5">
      <c r="A143" t="s">
        <v>360</v>
      </c>
      <c r="B143" s="97" t="s">
        <v>489</v>
      </c>
      <c r="C143" s="14" t="s">
        <v>101</v>
      </c>
      <c r="D143" s="103" t="s">
        <v>362</v>
      </c>
    </row>
    <row r="144" spans="1:4" ht="16.5">
      <c r="A144" t="s">
        <v>360</v>
      </c>
      <c r="B144" s="97" t="s">
        <v>490</v>
      </c>
      <c r="C144" s="14" t="s">
        <v>101</v>
      </c>
      <c r="D144" s="103" t="s">
        <v>362</v>
      </c>
    </row>
    <row r="145" spans="1:4" ht="16.5">
      <c r="A145" t="s">
        <v>360</v>
      </c>
      <c r="B145" s="97" t="s">
        <v>491</v>
      </c>
      <c r="C145" s="14" t="s">
        <v>101</v>
      </c>
      <c r="D145" s="103" t="s">
        <v>362</v>
      </c>
    </row>
    <row r="146" spans="1:4" ht="16.5">
      <c r="A146" t="s">
        <v>360</v>
      </c>
      <c r="B146" s="97" t="s">
        <v>492</v>
      </c>
      <c r="C146" s="14" t="s">
        <v>101</v>
      </c>
      <c r="D146" s="103" t="s">
        <v>362</v>
      </c>
    </row>
    <row r="147" spans="1:4" ht="16.5">
      <c r="A147" t="s">
        <v>360</v>
      </c>
      <c r="B147" s="97" t="s">
        <v>493</v>
      </c>
      <c r="C147" s="14" t="s">
        <v>101</v>
      </c>
      <c r="D147" s="103" t="s">
        <v>362</v>
      </c>
    </row>
    <row r="148" spans="1:4" ht="16.5">
      <c r="A148" t="s">
        <v>360</v>
      </c>
      <c r="B148" s="97" t="s">
        <v>494</v>
      </c>
      <c r="C148" s="14" t="s">
        <v>101</v>
      </c>
      <c r="D148" s="103" t="s">
        <v>362</v>
      </c>
    </row>
    <row r="149" spans="1:4" ht="16.5">
      <c r="A149" t="s">
        <v>360</v>
      </c>
      <c r="B149" s="97" t="s">
        <v>495</v>
      </c>
      <c r="C149" s="14" t="s">
        <v>101</v>
      </c>
      <c r="D149" s="103" t="s">
        <v>362</v>
      </c>
    </row>
    <row r="150" spans="1:4" ht="16.5">
      <c r="A150" t="s">
        <v>360</v>
      </c>
      <c r="B150" s="97" t="s">
        <v>496</v>
      </c>
      <c r="C150" s="14" t="s">
        <v>101</v>
      </c>
      <c r="D150" s="103" t="s">
        <v>362</v>
      </c>
    </row>
    <row r="151" spans="1:4" ht="16.5">
      <c r="A151" t="s">
        <v>360</v>
      </c>
      <c r="B151" s="97" t="s">
        <v>497</v>
      </c>
      <c r="C151" s="14" t="s">
        <v>101</v>
      </c>
      <c r="D151" s="103" t="s">
        <v>362</v>
      </c>
    </row>
    <row r="152" spans="1:4" ht="16.5">
      <c r="A152" t="s">
        <v>360</v>
      </c>
      <c r="B152" s="97" t="s">
        <v>498</v>
      </c>
      <c r="C152" s="14" t="s">
        <v>101</v>
      </c>
      <c r="D152" s="103" t="s">
        <v>362</v>
      </c>
    </row>
    <row r="153" spans="1:4" ht="16.5">
      <c r="A153" t="s">
        <v>360</v>
      </c>
      <c r="B153" s="97" t="s">
        <v>499</v>
      </c>
      <c r="C153" s="14" t="s">
        <v>101</v>
      </c>
      <c r="D153" s="103" t="s">
        <v>362</v>
      </c>
    </row>
    <row r="154" spans="1:4" ht="16.5">
      <c r="A154" t="s">
        <v>360</v>
      </c>
      <c r="B154" s="97" t="s">
        <v>500</v>
      </c>
      <c r="C154" s="14" t="s">
        <v>101</v>
      </c>
      <c r="D154" s="103" t="s">
        <v>362</v>
      </c>
    </row>
    <row r="155" spans="1:4" ht="16.5">
      <c r="A155" t="s">
        <v>360</v>
      </c>
      <c r="B155" s="97" t="s">
        <v>501</v>
      </c>
      <c r="C155" s="14" t="s">
        <v>101</v>
      </c>
      <c r="D155" s="103" t="s">
        <v>362</v>
      </c>
    </row>
    <row r="156" spans="1:4" ht="16.5">
      <c r="A156" t="s">
        <v>360</v>
      </c>
      <c r="B156" s="97" t="s">
        <v>502</v>
      </c>
      <c r="C156" s="14" t="s">
        <v>101</v>
      </c>
      <c r="D156" s="103" t="s">
        <v>362</v>
      </c>
    </row>
    <row r="157" spans="1:4" ht="16.5">
      <c r="A157" t="s">
        <v>360</v>
      </c>
      <c r="B157" s="97" t="s">
        <v>503</v>
      </c>
      <c r="C157" s="14" t="s">
        <v>101</v>
      </c>
      <c r="D157" s="103" t="s">
        <v>362</v>
      </c>
    </row>
    <row r="158" spans="1:4" ht="16.5">
      <c r="A158" t="s">
        <v>360</v>
      </c>
      <c r="B158" s="97" t="s">
        <v>504</v>
      </c>
      <c r="C158" s="14" t="s">
        <v>101</v>
      </c>
      <c r="D158" s="103" t="s">
        <v>362</v>
      </c>
    </row>
    <row r="159" spans="1:4" ht="16.5">
      <c r="A159" t="s">
        <v>360</v>
      </c>
      <c r="B159" s="97" t="s">
        <v>505</v>
      </c>
      <c r="C159" s="14" t="s">
        <v>101</v>
      </c>
      <c r="D159" s="103" t="s">
        <v>362</v>
      </c>
    </row>
    <row r="160" spans="1:4" ht="16.5">
      <c r="A160" t="s">
        <v>360</v>
      </c>
      <c r="B160" s="97" t="s">
        <v>506</v>
      </c>
      <c r="C160" s="14" t="s">
        <v>101</v>
      </c>
      <c r="D160" s="103" t="s">
        <v>362</v>
      </c>
    </row>
    <row r="161" spans="1:5" ht="16.5">
      <c r="A161" t="s">
        <v>360</v>
      </c>
      <c r="B161" s="97" t="s">
        <v>507</v>
      </c>
      <c r="C161" s="14" t="s">
        <v>101</v>
      </c>
      <c r="D161" s="103" t="s">
        <v>362</v>
      </c>
    </row>
    <row r="162" spans="1:5" ht="16.5">
      <c r="A162" t="s">
        <v>360</v>
      </c>
      <c r="B162" s="97" t="s">
        <v>508</v>
      </c>
      <c r="C162" s="14" t="s">
        <v>101</v>
      </c>
      <c r="D162" s="103" t="s">
        <v>362</v>
      </c>
    </row>
    <row r="163" spans="1:5" ht="16.5">
      <c r="A163" t="s">
        <v>360</v>
      </c>
      <c r="B163" s="97" t="s">
        <v>509</v>
      </c>
      <c r="C163" s="14" t="s">
        <v>101</v>
      </c>
      <c r="D163" s="103" t="s">
        <v>362</v>
      </c>
    </row>
    <row r="164" spans="1:5" ht="16.5">
      <c r="A164" t="s">
        <v>360</v>
      </c>
      <c r="B164" s="97" t="s">
        <v>510</v>
      </c>
      <c r="C164" s="14" t="s">
        <v>101</v>
      </c>
      <c r="D164" s="103" t="s">
        <v>362</v>
      </c>
    </row>
    <row r="165" spans="1:5" ht="16.5">
      <c r="A165" t="s">
        <v>360</v>
      </c>
      <c r="B165" s="97" t="s">
        <v>511</v>
      </c>
      <c r="C165" s="14" t="s">
        <v>101</v>
      </c>
      <c r="D165" s="103" t="s">
        <v>362</v>
      </c>
    </row>
    <row r="166" spans="1:5" ht="16.5">
      <c r="A166" t="s">
        <v>360</v>
      </c>
      <c r="B166" s="97" t="s">
        <v>512</v>
      </c>
      <c r="C166" s="14" t="s">
        <v>101</v>
      </c>
      <c r="D166" s="103" t="s">
        <v>362</v>
      </c>
    </row>
    <row r="167" spans="1:5" ht="16.5">
      <c r="A167" t="s">
        <v>360</v>
      </c>
      <c r="B167" s="97" t="s">
        <v>513</v>
      </c>
      <c r="C167" s="14" t="s">
        <v>101</v>
      </c>
      <c r="D167" s="103" t="s">
        <v>362</v>
      </c>
    </row>
    <row r="168" spans="1:5" ht="16.5">
      <c r="A168" t="s">
        <v>360</v>
      </c>
      <c r="B168" s="97" t="s">
        <v>514</v>
      </c>
      <c r="C168" s="14" t="s">
        <v>101</v>
      </c>
      <c r="D168" s="103" t="s">
        <v>362</v>
      </c>
    </row>
    <row r="169" spans="1:5" ht="16.5">
      <c r="A169" t="s">
        <v>360</v>
      </c>
      <c r="B169" s="97" t="s">
        <v>515</v>
      </c>
      <c r="C169" s="14" t="s">
        <v>101</v>
      </c>
      <c r="D169" s="103" t="s">
        <v>362</v>
      </c>
    </row>
    <row r="170" spans="1:5" ht="16.5">
      <c r="A170" t="s">
        <v>360</v>
      </c>
      <c r="B170" s="97" t="s">
        <v>516</v>
      </c>
      <c r="C170" s="14" t="s">
        <v>101</v>
      </c>
      <c r="D170" s="103" t="s">
        <v>362</v>
      </c>
      <c r="E170" s="33"/>
    </row>
    <row r="171" spans="1:5" ht="16.5">
      <c r="A171" t="s">
        <v>360</v>
      </c>
      <c r="B171" s="97" t="s">
        <v>517</v>
      </c>
      <c r="C171" s="14" t="s">
        <v>101</v>
      </c>
      <c r="D171" s="103" t="s">
        <v>362</v>
      </c>
    </row>
    <row r="172" spans="1:5" ht="16.5">
      <c r="A172" t="s">
        <v>360</v>
      </c>
      <c r="B172" s="97" t="s">
        <v>518</v>
      </c>
      <c r="C172" s="14" t="s">
        <v>101</v>
      </c>
      <c r="D172" s="103" t="s">
        <v>362</v>
      </c>
    </row>
    <row r="173" spans="1:5" ht="16.5">
      <c r="A173" t="s">
        <v>360</v>
      </c>
      <c r="B173" s="97" t="s">
        <v>519</v>
      </c>
      <c r="C173" s="14" t="s">
        <v>101</v>
      </c>
      <c r="D173" s="103" t="s">
        <v>362</v>
      </c>
    </row>
    <row r="174" spans="1:5" ht="16.5">
      <c r="A174" t="s">
        <v>360</v>
      </c>
      <c r="B174" s="97" t="s">
        <v>520</v>
      </c>
      <c r="C174" s="14" t="s">
        <v>101</v>
      </c>
      <c r="D174" s="103" t="s">
        <v>362</v>
      </c>
    </row>
    <row r="175" spans="1:5" ht="16.5">
      <c r="A175" t="s">
        <v>360</v>
      </c>
      <c r="B175" s="97" t="s">
        <v>521</v>
      </c>
      <c r="C175" s="14" t="s">
        <v>101</v>
      </c>
      <c r="D175" s="103" t="s">
        <v>362</v>
      </c>
    </row>
    <row r="176" spans="1:5" ht="16.5">
      <c r="A176" t="s">
        <v>360</v>
      </c>
      <c r="B176" s="97" t="s">
        <v>522</v>
      </c>
      <c r="C176" s="14" t="s">
        <v>101</v>
      </c>
      <c r="D176" s="103" t="s">
        <v>362</v>
      </c>
    </row>
    <row r="177" spans="1:4" ht="16.5">
      <c r="A177" t="s">
        <v>360</v>
      </c>
      <c r="B177" s="97" t="s">
        <v>523</v>
      </c>
      <c r="C177" s="14" t="s">
        <v>101</v>
      </c>
      <c r="D177" s="103" t="s">
        <v>362</v>
      </c>
    </row>
    <row r="178" spans="1:4" ht="16.5">
      <c r="A178" t="s">
        <v>360</v>
      </c>
      <c r="B178" s="97" t="s">
        <v>524</v>
      </c>
      <c r="C178" s="14" t="s">
        <v>101</v>
      </c>
      <c r="D178" s="103" t="s">
        <v>362</v>
      </c>
    </row>
    <row r="179" spans="1:4" ht="16.5">
      <c r="A179" t="s">
        <v>360</v>
      </c>
      <c r="B179" s="97" t="s">
        <v>525</v>
      </c>
      <c r="C179" s="14" t="s">
        <v>101</v>
      </c>
      <c r="D179" s="103" t="s">
        <v>362</v>
      </c>
    </row>
    <row r="180" spans="1:4" ht="16.5">
      <c r="A180" t="s">
        <v>360</v>
      </c>
      <c r="B180" s="97" t="s">
        <v>526</v>
      </c>
      <c r="C180" s="14" t="s">
        <v>101</v>
      </c>
      <c r="D180" s="103" t="s">
        <v>362</v>
      </c>
    </row>
    <row r="181" spans="1:4" ht="16.5">
      <c r="A181" t="s">
        <v>360</v>
      </c>
      <c r="B181" s="97" t="s">
        <v>527</v>
      </c>
      <c r="C181" s="14" t="s">
        <v>101</v>
      </c>
      <c r="D181" s="103" t="s">
        <v>362</v>
      </c>
    </row>
    <row r="182" spans="1:4" ht="16.5">
      <c r="A182" t="s">
        <v>360</v>
      </c>
      <c r="B182" s="97" t="s">
        <v>528</v>
      </c>
      <c r="C182" s="14" t="s">
        <v>101</v>
      </c>
      <c r="D182" s="103" t="s">
        <v>362</v>
      </c>
    </row>
    <row r="183" spans="1:4" ht="16.5">
      <c r="A183" t="s">
        <v>360</v>
      </c>
      <c r="B183" s="97" t="s">
        <v>529</v>
      </c>
      <c r="C183" s="14" t="s">
        <v>101</v>
      </c>
      <c r="D183" s="103" t="s">
        <v>362</v>
      </c>
    </row>
    <row r="184" spans="1:4" ht="16.5">
      <c r="A184" t="s">
        <v>360</v>
      </c>
      <c r="B184" s="97" t="s">
        <v>530</v>
      </c>
      <c r="C184" s="14" t="s">
        <v>101</v>
      </c>
      <c r="D184" s="103" t="s">
        <v>362</v>
      </c>
    </row>
    <row r="185" spans="1:4" ht="16.5">
      <c r="A185" t="s">
        <v>360</v>
      </c>
      <c r="B185" s="97" t="s">
        <v>531</v>
      </c>
      <c r="C185" s="14" t="s">
        <v>101</v>
      </c>
      <c r="D185" s="103" t="s">
        <v>362</v>
      </c>
    </row>
    <row r="186" spans="1:4" ht="16.5">
      <c r="A186" t="s">
        <v>360</v>
      </c>
      <c r="B186" s="97" t="s">
        <v>532</v>
      </c>
      <c r="C186" s="14" t="s">
        <v>101</v>
      </c>
      <c r="D186" s="103" t="s">
        <v>362</v>
      </c>
    </row>
    <row r="187" spans="1:4" ht="16.5">
      <c r="A187" t="s">
        <v>360</v>
      </c>
      <c r="B187" s="97" t="s">
        <v>533</v>
      </c>
      <c r="C187" s="14" t="s">
        <v>101</v>
      </c>
      <c r="D187" s="103" t="s">
        <v>362</v>
      </c>
    </row>
    <row r="188" spans="1:4" ht="16.5">
      <c r="A188" t="s">
        <v>360</v>
      </c>
      <c r="B188" s="97" t="s">
        <v>534</v>
      </c>
      <c r="C188" s="14" t="s">
        <v>101</v>
      </c>
      <c r="D188" s="103" t="s">
        <v>362</v>
      </c>
    </row>
    <row r="189" spans="1:4" ht="16.5">
      <c r="A189" t="s">
        <v>360</v>
      </c>
      <c r="B189" s="97" t="s">
        <v>535</v>
      </c>
      <c r="C189" s="14" t="s">
        <v>101</v>
      </c>
      <c r="D189" s="103" t="s">
        <v>362</v>
      </c>
    </row>
    <row r="190" spans="1:4" ht="16.5">
      <c r="A190" t="s">
        <v>360</v>
      </c>
      <c r="B190" s="97" t="s">
        <v>536</v>
      </c>
      <c r="C190" s="14" t="s">
        <v>101</v>
      </c>
      <c r="D190" s="103" t="s">
        <v>362</v>
      </c>
    </row>
    <row r="191" spans="1:4" ht="16.5">
      <c r="A191" t="s">
        <v>360</v>
      </c>
      <c r="B191" s="97" t="s">
        <v>537</v>
      </c>
      <c r="C191" s="14" t="s">
        <v>101</v>
      </c>
      <c r="D191" s="103" t="s">
        <v>362</v>
      </c>
    </row>
    <row r="192" spans="1:4" ht="16.5">
      <c r="A192" t="s">
        <v>360</v>
      </c>
      <c r="B192" s="97" t="s">
        <v>538</v>
      </c>
      <c r="C192" s="14" t="s">
        <v>101</v>
      </c>
      <c r="D192" s="103" t="s">
        <v>362</v>
      </c>
    </row>
    <row r="193" spans="1:4" ht="16.5">
      <c r="A193" t="s">
        <v>360</v>
      </c>
      <c r="B193" s="97" t="s">
        <v>539</v>
      </c>
      <c r="C193" s="14" t="s">
        <v>101</v>
      </c>
      <c r="D193" s="103" t="s">
        <v>362</v>
      </c>
    </row>
    <row r="194" spans="1:4" ht="16.5">
      <c r="A194" t="s">
        <v>360</v>
      </c>
      <c r="B194" s="97" t="s">
        <v>540</v>
      </c>
      <c r="C194" s="14" t="s">
        <v>101</v>
      </c>
      <c r="D194" s="103" t="s">
        <v>362</v>
      </c>
    </row>
    <row r="195" spans="1:4" ht="16.5">
      <c r="A195" t="s">
        <v>360</v>
      </c>
      <c r="B195" s="97" t="s">
        <v>541</v>
      </c>
      <c r="C195" s="14" t="s">
        <v>101</v>
      </c>
      <c r="D195" s="103" t="s">
        <v>362</v>
      </c>
    </row>
    <row r="196" spans="1:4" ht="16.5">
      <c r="A196" t="s">
        <v>360</v>
      </c>
      <c r="B196" s="97" t="s">
        <v>542</v>
      </c>
      <c r="C196" s="14" t="s">
        <v>101</v>
      </c>
      <c r="D196" s="103" t="s">
        <v>362</v>
      </c>
    </row>
    <row r="197" spans="1:4" ht="16.5">
      <c r="A197" t="s">
        <v>360</v>
      </c>
      <c r="B197" s="97" t="s">
        <v>543</v>
      </c>
      <c r="C197" s="14" t="s">
        <v>101</v>
      </c>
      <c r="D197" s="103" t="s">
        <v>362</v>
      </c>
    </row>
    <row r="198" spans="1:4" ht="16.5">
      <c r="A198" t="s">
        <v>360</v>
      </c>
      <c r="B198" s="97" t="s">
        <v>544</v>
      </c>
      <c r="C198" s="14" t="s">
        <v>101</v>
      </c>
      <c r="D198" s="103" t="s">
        <v>362</v>
      </c>
    </row>
    <row r="199" spans="1:4" ht="16.5">
      <c r="A199" t="s">
        <v>360</v>
      </c>
      <c r="B199" s="97" t="s">
        <v>545</v>
      </c>
      <c r="C199" s="14" t="s">
        <v>101</v>
      </c>
      <c r="D199" s="103" t="s">
        <v>362</v>
      </c>
    </row>
    <row r="200" spans="1:4" ht="16.5">
      <c r="A200" t="s">
        <v>360</v>
      </c>
      <c r="B200" s="97" t="s">
        <v>546</v>
      </c>
      <c r="C200" s="14" t="s">
        <v>101</v>
      </c>
      <c r="D200" s="103" t="s">
        <v>362</v>
      </c>
    </row>
    <row r="201" spans="1:4" ht="16.5">
      <c r="A201" t="s">
        <v>360</v>
      </c>
      <c r="B201" s="97" t="s">
        <v>547</v>
      </c>
      <c r="C201" s="14" t="s">
        <v>101</v>
      </c>
      <c r="D201" s="103" t="s">
        <v>362</v>
      </c>
    </row>
    <row r="202" spans="1:4" ht="16.5">
      <c r="A202" t="s">
        <v>360</v>
      </c>
      <c r="B202" s="97" t="s">
        <v>548</v>
      </c>
      <c r="C202" s="14" t="s">
        <v>101</v>
      </c>
      <c r="D202" s="103" t="s">
        <v>362</v>
      </c>
    </row>
    <row r="203" spans="1:4" ht="16.5">
      <c r="A203" t="s">
        <v>360</v>
      </c>
      <c r="B203" s="97" t="s">
        <v>549</v>
      </c>
      <c r="C203" s="14" t="s">
        <v>101</v>
      </c>
      <c r="D203" s="103" t="s">
        <v>362</v>
      </c>
    </row>
    <row r="204" spans="1:4" ht="16.5">
      <c r="A204" t="s">
        <v>360</v>
      </c>
      <c r="B204" s="97" t="s">
        <v>550</v>
      </c>
      <c r="C204" s="14" t="s">
        <v>101</v>
      </c>
      <c r="D204" s="103" t="s">
        <v>362</v>
      </c>
    </row>
    <row r="205" spans="1:4" ht="16.5">
      <c r="A205" t="s">
        <v>360</v>
      </c>
      <c r="B205" s="97" t="s">
        <v>551</v>
      </c>
      <c r="C205" s="14" t="s">
        <v>101</v>
      </c>
      <c r="D205" s="103" t="s">
        <v>362</v>
      </c>
    </row>
    <row r="206" spans="1:4" ht="16.5">
      <c r="A206" t="s">
        <v>360</v>
      </c>
      <c r="B206" s="97" t="s">
        <v>552</v>
      </c>
      <c r="C206" s="14" t="s">
        <v>101</v>
      </c>
      <c r="D206" s="103" t="s">
        <v>362</v>
      </c>
    </row>
    <row r="207" spans="1:4" ht="16.5">
      <c r="A207" t="s">
        <v>360</v>
      </c>
      <c r="B207" s="97" t="s">
        <v>553</v>
      </c>
      <c r="C207" s="14" t="s">
        <v>101</v>
      </c>
      <c r="D207" s="103" t="s">
        <v>362</v>
      </c>
    </row>
    <row r="208" spans="1:4" ht="16.5">
      <c r="A208" t="s">
        <v>360</v>
      </c>
      <c r="B208" s="97" t="s">
        <v>554</v>
      </c>
      <c r="C208" s="14" t="s">
        <v>101</v>
      </c>
      <c r="D208" s="103" t="s">
        <v>362</v>
      </c>
    </row>
    <row r="209" spans="1:4" ht="16.5">
      <c r="A209" t="s">
        <v>360</v>
      </c>
      <c r="B209" s="97" t="s">
        <v>555</v>
      </c>
      <c r="C209" s="14" t="s">
        <v>101</v>
      </c>
      <c r="D209" s="103" t="s">
        <v>362</v>
      </c>
    </row>
    <row r="210" spans="1:4" ht="16.5">
      <c r="A210" s="30" t="s">
        <v>556</v>
      </c>
      <c r="B210" s="97" t="s">
        <v>980</v>
      </c>
      <c r="C210" s="14" t="s">
        <v>981</v>
      </c>
      <c r="D210" s="103" t="s">
        <v>557</v>
      </c>
    </row>
    <row r="211" spans="1:4" ht="16.5">
      <c r="A211" s="16" t="s">
        <v>556</v>
      </c>
      <c r="B211" s="97" t="s">
        <v>982</v>
      </c>
      <c r="C211" s="14" t="s">
        <v>981</v>
      </c>
      <c r="D211" s="103" t="s">
        <v>558</v>
      </c>
    </row>
    <row r="212" spans="1:4" ht="16.5">
      <c r="A212" s="16" t="s">
        <v>556</v>
      </c>
      <c r="B212" s="97" t="s">
        <v>983</v>
      </c>
      <c r="C212" s="14" t="s">
        <v>981</v>
      </c>
      <c r="D212" s="103" t="s">
        <v>559</v>
      </c>
    </row>
    <row r="213" spans="1:4" ht="16.5">
      <c r="A213" s="16" t="s">
        <v>556</v>
      </c>
      <c r="B213" s="97" t="s">
        <v>984</v>
      </c>
      <c r="C213" s="14" t="s">
        <v>981</v>
      </c>
      <c r="D213" s="103" t="s">
        <v>560</v>
      </c>
    </row>
    <row r="214" spans="1:4" ht="16.5">
      <c r="A214" s="16" t="s">
        <v>556</v>
      </c>
      <c r="B214" s="97" t="s">
        <v>985</v>
      </c>
      <c r="C214" s="14" t="s">
        <v>981</v>
      </c>
      <c r="D214" s="103" t="s">
        <v>561</v>
      </c>
    </row>
    <row r="215" spans="1:4" ht="16.5">
      <c r="A215" s="16" t="s">
        <v>556</v>
      </c>
      <c r="B215" s="97" t="s">
        <v>986</v>
      </c>
      <c r="C215" s="14" t="s">
        <v>981</v>
      </c>
      <c r="D215" s="103" t="s">
        <v>562</v>
      </c>
    </row>
    <row r="216" spans="1:4" ht="16.5">
      <c r="A216" s="16" t="s">
        <v>556</v>
      </c>
      <c r="B216" s="97" t="s">
        <v>987</v>
      </c>
      <c r="C216" s="14" t="s">
        <v>981</v>
      </c>
      <c r="D216" s="103" t="s">
        <v>563</v>
      </c>
    </row>
    <row r="217" spans="1:4" ht="16.5">
      <c r="A217" s="16" t="s">
        <v>556</v>
      </c>
      <c r="B217" s="97" t="s">
        <v>988</v>
      </c>
      <c r="C217" s="14" t="s">
        <v>981</v>
      </c>
      <c r="D217" s="103" t="s">
        <v>564</v>
      </c>
    </row>
    <row r="218" spans="1:4" ht="16.5">
      <c r="A218" s="16" t="s">
        <v>556</v>
      </c>
      <c r="B218" s="97" t="s">
        <v>989</v>
      </c>
      <c r="C218" s="14" t="s">
        <v>981</v>
      </c>
      <c r="D218" s="103" t="s">
        <v>565</v>
      </c>
    </row>
    <row r="219" spans="1:4" ht="16.5">
      <c r="A219" t="s">
        <v>566</v>
      </c>
      <c r="B219" s="97" t="s">
        <v>990</v>
      </c>
      <c r="C219" s="31" t="s">
        <v>227</v>
      </c>
      <c r="D219" s="103" t="s">
        <v>567</v>
      </c>
    </row>
    <row r="220" spans="1:4">
      <c r="A220" t="s">
        <v>566</v>
      </c>
      <c r="B220" t="s">
        <v>568</v>
      </c>
      <c r="C220" s="31" t="s">
        <v>227</v>
      </c>
      <c r="D220" s="103" t="s">
        <v>569</v>
      </c>
    </row>
    <row r="221" spans="1:4">
      <c r="A221" t="s">
        <v>566</v>
      </c>
      <c r="B221" t="s">
        <v>570</v>
      </c>
      <c r="C221" s="31" t="s">
        <v>227</v>
      </c>
      <c r="D221" s="103" t="s">
        <v>571</v>
      </c>
    </row>
    <row r="222" spans="1:4">
      <c r="A222" t="s">
        <v>566</v>
      </c>
      <c r="B222" t="s">
        <v>572</v>
      </c>
      <c r="C222" s="31" t="s">
        <v>227</v>
      </c>
      <c r="D222" s="103" t="s">
        <v>573</v>
      </c>
    </row>
    <row r="223" spans="1:4">
      <c r="A223" t="s">
        <v>566</v>
      </c>
      <c r="B223" t="s">
        <v>574</v>
      </c>
      <c r="C223" s="31" t="s">
        <v>227</v>
      </c>
      <c r="D223" s="103" t="s">
        <v>575</v>
      </c>
    </row>
    <row r="224" spans="1:4">
      <c r="A224" t="s">
        <v>566</v>
      </c>
      <c r="B224" t="s">
        <v>576</v>
      </c>
      <c r="C224" s="31" t="s">
        <v>227</v>
      </c>
      <c r="D224" s="103" t="s">
        <v>577</v>
      </c>
    </row>
    <row r="225" spans="1:4">
      <c r="A225" t="s">
        <v>566</v>
      </c>
      <c r="B225" t="s">
        <v>578</v>
      </c>
      <c r="C225" s="31" t="s">
        <v>227</v>
      </c>
      <c r="D225" s="103" t="s">
        <v>291</v>
      </c>
    </row>
    <row r="226" spans="1:4">
      <c r="A226" t="s">
        <v>566</v>
      </c>
      <c r="B226" t="s">
        <v>579</v>
      </c>
      <c r="C226" s="31" t="s">
        <v>227</v>
      </c>
      <c r="D226" s="103" t="s">
        <v>580</v>
      </c>
    </row>
    <row r="227" spans="1:4">
      <c r="A227" t="s">
        <v>566</v>
      </c>
      <c r="B227" t="s">
        <v>581</v>
      </c>
      <c r="C227" s="31" t="s">
        <v>227</v>
      </c>
      <c r="D227" s="103" t="s">
        <v>582</v>
      </c>
    </row>
    <row r="228" spans="1:4">
      <c r="A228" t="s">
        <v>566</v>
      </c>
      <c r="B228" t="s">
        <v>583</v>
      </c>
      <c r="C228" s="31" t="s">
        <v>227</v>
      </c>
      <c r="D228" s="103" t="s">
        <v>584</v>
      </c>
    </row>
    <row r="229" spans="1:4">
      <c r="A229" t="s">
        <v>566</v>
      </c>
      <c r="B229" t="s">
        <v>585</v>
      </c>
      <c r="C229" s="31" t="s">
        <v>227</v>
      </c>
      <c r="D229" s="103" t="s">
        <v>586</v>
      </c>
    </row>
    <row r="230" spans="1:4">
      <c r="A230" t="s">
        <v>566</v>
      </c>
      <c r="B230" t="s">
        <v>587</v>
      </c>
      <c r="C230" s="31" t="s">
        <v>227</v>
      </c>
      <c r="D230" s="103" t="s">
        <v>588</v>
      </c>
    </row>
    <row r="231" spans="1:4">
      <c r="A231" t="s">
        <v>566</v>
      </c>
      <c r="B231" t="s">
        <v>589</v>
      </c>
      <c r="C231" s="31" t="s">
        <v>227</v>
      </c>
      <c r="D231" s="103" t="s">
        <v>590</v>
      </c>
    </row>
    <row r="232" spans="1:4">
      <c r="A232" t="s">
        <v>566</v>
      </c>
      <c r="B232" t="s">
        <v>591</v>
      </c>
      <c r="C232" s="31" t="s">
        <v>227</v>
      </c>
      <c r="D232" s="103" t="s">
        <v>592</v>
      </c>
    </row>
    <row r="233" spans="1:4">
      <c r="A233" t="s">
        <v>566</v>
      </c>
      <c r="B233" t="s">
        <v>593</v>
      </c>
      <c r="C233" s="31" t="s">
        <v>227</v>
      </c>
      <c r="D233" s="103" t="s">
        <v>594</v>
      </c>
    </row>
    <row r="234" spans="1:4">
      <c r="A234" t="s">
        <v>566</v>
      </c>
      <c r="B234" t="s">
        <v>595</v>
      </c>
      <c r="C234" s="31" t="s">
        <v>227</v>
      </c>
      <c r="D234" s="103" t="s">
        <v>596</v>
      </c>
    </row>
    <row r="235" spans="1:4">
      <c r="A235" t="s">
        <v>566</v>
      </c>
      <c r="B235" t="s">
        <v>597</v>
      </c>
      <c r="C235" s="31" t="s">
        <v>227</v>
      </c>
      <c r="D235" s="103" t="s">
        <v>598</v>
      </c>
    </row>
    <row r="236" spans="1:4">
      <c r="A236" t="s">
        <v>566</v>
      </c>
      <c r="B236" t="s">
        <v>599</v>
      </c>
      <c r="C236" s="31" t="s">
        <v>227</v>
      </c>
      <c r="D236" s="103" t="s">
        <v>600</v>
      </c>
    </row>
    <row r="237" spans="1:4">
      <c r="A237" t="s">
        <v>566</v>
      </c>
      <c r="B237" t="s">
        <v>601</v>
      </c>
      <c r="C237" s="31" t="s">
        <v>227</v>
      </c>
      <c r="D237" s="103" t="s">
        <v>602</v>
      </c>
    </row>
    <row r="238" spans="1:4">
      <c r="A238" t="s">
        <v>566</v>
      </c>
      <c r="B238" t="s">
        <v>603</v>
      </c>
      <c r="C238" s="31" t="s">
        <v>227</v>
      </c>
      <c r="D238" s="103" t="s">
        <v>604</v>
      </c>
    </row>
    <row r="239" spans="1:4">
      <c r="A239" t="s">
        <v>566</v>
      </c>
      <c r="B239" t="s">
        <v>605</v>
      </c>
      <c r="C239" s="31" t="s">
        <v>227</v>
      </c>
      <c r="D239" s="103" t="s">
        <v>606</v>
      </c>
    </row>
    <row r="240" spans="1:4">
      <c r="A240" t="s">
        <v>566</v>
      </c>
      <c r="B240" t="s">
        <v>607</v>
      </c>
      <c r="C240" s="31" t="s">
        <v>227</v>
      </c>
      <c r="D240" s="103" t="s">
        <v>608</v>
      </c>
    </row>
    <row r="241" spans="1:4">
      <c r="A241" t="s">
        <v>566</v>
      </c>
      <c r="B241" t="s">
        <v>609</v>
      </c>
      <c r="C241" s="31" t="s">
        <v>227</v>
      </c>
      <c r="D241" s="103" t="s">
        <v>610</v>
      </c>
    </row>
    <row r="242" spans="1:4">
      <c r="A242" t="s">
        <v>566</v>
      </c>
      <c r="B242" t="s">
        <v>611</v>
      </c>
      <c r="C242" s="31" t="s">
        <v>227</v>
      </c>
      <c r="D242" s="103" t="s">
        <v>612</v>
      </c>
    </row>
    <row r="243" spans="1:4">
      <c r="A243" t="s">
        <v>566</v>
      </c>
      <c r="B243" t="s">
        <v>613</v>
      </c>
      <c r="C243" s="31" t="s">
        <v>227</v>
      </c>
      <c r="D243" s="103">
        <v>101</v>
      </c>
    </row>
    <row r="244" spans="1:4">
      <c r="A244" t="s">
        <v>566</v>
      </c>
      <c r="B244" t="s">
        <v>614</v>
      </c>
      <c r="C244" s="31" t="s">
        <v>227</v>
      </c>
      <c r="D244" s="103">
        <v>102</v>
      </c>
    </row>
    <row r="245" spans="1:4">
      <c r="A245" t="s">
        <v>566</v>
      </c>
      <c r="B245" t="s">
        <v>615</v>
      </c>
      <c r="C245" s="31" t="s">
        <v>227</v>
      </c>
      <c r="D245" s="103">
        <v>103</v>
      </c>
    </row>
    <row r="246" spans="1:4">
      <c r="A246" t="s">
        <v>566</v>
      </c>
      <c r="B246" t="s">
        <v>616</v>
      </c>
      <c r="C246" s="31" t="s">
        <v>227</v>
      </c>
      <c r="D246" s="103">
        <v>104</v>
      </c>
    </row>
    <row r="247" spans="1:4">
      <c r="A247" t="s">
        <v>566</v>
      </c>
      <c r="B247" t="s">
        <v>617</v>
      </c>
      <c r="C247" s="31" t="s">
        <v>227</v>
      </c>
      <c r="D247" s="103">
        <v>105</v>
      </c>
    </row>
    <row r="248" spans="1:4">
      <c r="A248" t="s">
        <v>566</v>
      </c>
      <c r="B248" t="s">
        <v>618</v>
      </c>
      <c r="C248" s="31" t="s">
        <v>227</v>
      </c>
      <c r="D248" s="103">
        <v>106</v>
      </c>
    </row>
    <row r="249" spans="1:4">
      <c r="A249" t="s">
        <v>566</v>
      </c>
      <c r="B249" t="s">
        <v>619</v>
      </c>
      <c r="C249" s="31" t="s">
        <v>227</v>
      </c>
      <c r="D249" s="103">
        <v>107</v>
      </c>
    </row>
    <row r="250" spans="1:4">
      <c r="A250" t="s">
        <v>566</v>
      </c>
      <c r="B250" t="s">
        <v>620</v>
      </c>
      <c r="C250" s="31" t="s">
        <v>227</v>
      </c>
      <c r="D250" s="103">
        <v>108</v>
      </c>
    </row>
    <row r="251" spans="1:4">
      <c r="A251" t="s">
        <v>566</v>
      </c>
      <c r="B251" t="s">
        <v>621</v>
      </c>
      <c r="C251" s="31" t="s">
        <v>227</v>
      </c>
      <c r="D251" s="103">
        <v>109</v>
      </c>
    </row>
    <row r="252" spans="1:4">
      <c r="A252" t="s">
        <v>566</v>
      </c>
      <c r="B252" t="s">
        <v>622</v>
      </c>
      <c r="C252" s="31" t="s">
        <v>227</v>
      </c>
      <c r="D252" s="103">
        <v>110</v>
      </c>
    </row>
    <row r="253" spans="1:4">
      <c r="A253" t="s">
        <v>566</v>
      </c>
      <c r="B253" t="s">
        <v>623</v>
      </c>
      <c r="C253" s="31" t="s">
        <v>227</v>
      </c>
      <c r="D253" s="103">
        <v>120</v>
      </c>
    </row>
    <row r="254" spans="1:4">
      <c r="A254" t="s">
        <v>566</v>
      </c>
      <c r="B254" t="s">
        <v>624</v>
      </c>
      <c r="C254" s="31" t="s">
        <v>227</v>
      </c>
      <c r="D254" s="103">
        <v>131</v>
      </c>
    </row>
    <row r="255" spans="1:4">
      <c r="A255" t="s">
        <v>566</v>
      </c>
      <c r="B255" t="s">
        <v>625</v>
      </c>
      <c r="C255" s="31" t="s">
        <v>227</v>
      </c>
      <c r="D255" s="103">
        <v>132</v>
      </c>
    </row>
    <row r="256" spans="1:4">
      <c r="A256" t="s">
        <v>566</v>
      </c>
      <c r="B256" t="s">
        <v>626</v>
      </c>
      <c r="C256" s="31" t="s">
        <v>227</v>
      </c>
      <c r="D256" s="103">
        <v>133</v>
      </c>
    </row>
    <row r="257" spans="1:4">
      <c r="A257" t="s">
        <v>566</v>
      </c>
      <c r="B257" t="s">
        <v>627</v>
      </c>
      <c r="C257" s="31" t="s">
        <v>227</v>
      </c>
      <c r="D257" s="103">
        <v>139</v>
      </c>
    </row>
    <row r="258" spans="1:4">
      <c r="A258" t="s">
        <v>566</v>
      </c>
      <c r="B258" t="s">
        <v>628</v>
      </c>
      <c r="C258" s="31" t="s">
        <v>227</v>
      </c>
      <c r="D258" s="103">
        <v>141</v>
      </c>
    </row>
    <row r="259" spans="1:4">
      <c r="A259" t="s">
        <v>566</v>
      </c>
      <c r="B259" t="s">
        <v>629</v>
      </c>
      <c r="C259" s="31" t="s">
        <v>227</v>
      </c>
      <c r="D259" s="103">
        <v>142</v>
      </c>
    </row>
    <row r="260" spans="1:4">
      <c r="A260" t="s">
        <v>566</v>
      </c>
      <c r="B260" t="s">
        <v>630</v>
      </c>
      <c r="C260" s="31" t="s">
        <v>227</v>
      </c>
      <c r="D260" s="103">
        <v>151</v>
      </c>
    </row>
    <row r="261" spans="1:4">
      <c r="A261" t="s">
        <v>566</v>
      </c>
      <c r="B261" t="s">
        <v>631</v>
      </c>
      <c r="C261" s="31" t="s">
        <v>227</v>
      </c>
      <c r="D261" s="103">
        <v>152</v>
      </c>
    </row>
    <row r="262" spans="1:4">
      <c r="A262" t="s">
        <v>566</v>
      </c>
      <c r="B262" t="s">
        <v>632</v>
      </c>
      <c r="C262" s="31" t="s">
        <v>227</v>
      </c>
      <c r="D262" s="103">
        <v>161</v>
      </c>
    </row>
    <row r="263" spans="1:4">
      <c r="A263" t="s">
        <v>566</v>
      </c>
      <c r="B263" t="s">
        <v>633</v>
      </c>
      <c r="C263" s="31" t="s">
        <v>227</v>
      </c>
      <c r="D263" s="103">
        <v>162</v>
      </c>
    </row>
    <row r="264" spans="1:4">
      <c r="A264" t="s">
        <v>566</v>
      </c>
      <c r="B264" t="s">
        <v>634</v>
      </c>
      <c r="C264" s="31" t="s">
        <v>227</v>
      </c>
      <c r="D264" s="103">
        <v>171</v>
      </c>
    </row>
    <row r="265" spans="1:4">
      <c r="A265" t="s">
        <v>566</v>
      </c>
      <c r="B265" t="s">
        <v>635</v>
      </c>
      <c r="C265" s="31" t="s">
        <v>227</v>
      </c>
      <c r="D265" s="103">
        <v>172</v>
      </c>
    </row>
    <row r="266" spans="1:4">
      <c r="A266" t="s">
        <v>566</v>
      </c>
      <c r="B266" t="s">
        <v>636</v>
      </c>
      <c r="C266" s="31" t="s">
        <v>227</v>
      </c>
      <c r="D266" s="103">
        <v>181</v>
      </c>
    </row>
    <row r="267" spans="1:4">
      <c r="A267" t="s">
        <v>566</v>
      </c>
      <c r="B267" t="s">
        <v>637</v>
      </c>
      <c r="C267" s="31" t="s">
        <v>227</v>
      </c>
      <c r="D267" s="103">
        <v>182</v>
      </c>
    </row>
    <row r="268" spans="1:4">
      <c r="A268" t="s">
        <v>566</v>
      </c>
      <c r="B268" t="s">
        <v>638</v>
      </c>
      <c r="C268" s="31" t="s">
        <v>227</v>
      </c>
      <c r="D268" s="103">
        <v>191</v>
      </c>
    </row>
    <row r="269" spans="1:4">
      <c r="A269" t="s">
        <v>566</v>
      </c>
      <c r="B269" t="s">
        <v>639</v>
      </c>
      <c r="C269" s="31" t="s">
        <v>227</v>
      </c>
      <c r="D269" s="103">
        <v>192</v>
      </c>
    </row>
    <row r="270" spans="1:4">
      <c r="A270" t="s">
        <v>566</v>
      </c>
      <c r="B270" t="s">
        <v>640</v>
      </c>
      <c r="C270" s="31" t="s">
        <v>227</v>
      </c>
      <c r="D270" s="103">
        <v>201</v>
      </c>
    </row>
    <row r="271" spans="1:4">
      <c r="A271" t="s">
        <v>566</v>
      </c>
      <c r="B271" t="s">
        <v>641</v>
      </c>
      <c r="C271" s="31" t="s">
        <v>227</v>
      </c>
      <c r="D271" s="103">
        <v>202</v>
      </c>
    </row>
    <row r="272" spans="1:4">
      <c r="A272" t="s">
        <v>566</v>
      </c>
      <c r="B272" t="s">
        <v>642</v>
      </c>
      <c r="C272" s="31" t="s">
        <v>227</v>
      </c>
      <c r="D272" s="103">
        <v>203</v>
      </c>
    </row>
    <row r="273" spans="1:4">
      <c r="A273" t="s">
        <v>566</v>
      </c>
      <c r="B273" t="s">
        <v>643</v>
      </c>
      <c r="C273" s="31" t="s">
        <v>227</v>
      </c>
      <c r="D273" s="103">
        <v>204</v>
      </c>
    </row>
    <row r="274" spans="1:4">
      <c r="A274" t="s">
        <v>566</v>
      </c>
      <c r="B274" t="s">
        <v>644</v>
      </c>
      <c r="C274" s="31" t="s">
        <v>227</v>
      </c>
      <c r="D274" s="103">
        <v>205</v>
      </c>
    </row>
    <row r="275" spans="1:4">
      <c r="A275" t="s">
        <v>566</v>
      </c>
      <c r="B275" t="s">
        <v>645</v>
      </c>
      <c r="C275" s="31" t="s">
        <v>227</v>
      </c>
      <c r="D275" s="103">
        <v>206</v>
      </c>
    </row>
    <row r="276" spans="1:4">
      <c r="A276" t="s">
        <v>566</v>
      </c>
      <c r="B276" t="s">
        <v>646</v>
      </c>
      <c r="C276" s="31" t="s">
        <v>227</v>
      </c>
      <c r="D276" s="103">
        <v>211</v>
      </c>
    </row>
    <row r="277" spans="1:4">
      <c r="A277" t="s">
        <v>566</v>
      </c>
      <c r="B277" t="s">
        <v>647</v>
      </c>
      <c r="C277" s="31" t="s">
        <v>227</v>
      </c>
      <c r="D277" s="103">
        <v>212</v>
      </c>
    </row>
    <row r="278" spans="1:4">
      <c r="A278" t="s">
        <v>566</v>
      </c>
      <c r="B278" t="s">
        <v>648</v>
      </c>
      <c r="C278" s="31" t="s">
        <v>227</v>
      </c>
      <c r="D278" s="103">
        <v>221</v>
      </c>
    </row>
    <row r="279" spans="1:4">
      <c r="A279" t="s">
        <v>566</v>
      </c>
      <c r="B279" t="s">
        <v>649</v>
      </c>
      <c r="C279" s="31" t="s">
        <v>227</v>
      </c>
      <c r="D279" s="103">
        <v>222</v>
      </c>
    </row>
    <row r="280" spans="1:4">
      <c r="A280" t="s">
        <v>566</v>
      </c>
      <c r="B280" t="s">
        <v>650</v>
      </c>
      <c r="C280" s="31" t="s">
        <v>227</v>
      </c>
      <c r="D280" s="103">
        <v>231</v>
      </c>
    </row>
    <row r="281" spans="1:4">
      <c r="A281" t="s">
        <v>566</v>
      </c>
      <c r="B281" t="s">
        <v>651</v>
      </c>
      <c r="C281" s="31" t="s">
        <v>227</v>
      </c>
      <c r="D281" s="103">
        <v>232</v>
      </c>
    </row>
    <row r="282" spans="1:4">
      <c r="A282" t="s">
        <v>566</v>
      </c>
      <c r="B282" t="s">
        <v>652</v>
      </c>
      <c r="C282" s="31" t="s">
        <v>227</v>
      </c>
      <c r="D282" s="103">
        <v>233</v>
      </c>
    </row>
    <row r="283" spans="1:4">
      <c r="A283" t="s">
        <v>566</v>
      </c>
      <c r="B283" t="s">
        <v>653</v>
      </c>
      <c r="C283" s="31" t="s">
        <v>227</v>
      </c>
      <c r="D283" s="103">
        <v>234</v>
      </c>
    </row>
    <row r="284" spans="1:4">
      <c r="A284" t="s">
        <v>566</v>
      </c>
      <c r="B284" t="s">
        <v>654</v>
      </c>
      <c r="C284" s="31" t="s">
        <v>227</v>
      </c>
      <c r="D284" s="103">
        <v>235</v>
      </c>
    </row>
    <row r="285" spans="1:4">
      <c r="A285" t="s">
        <v>566</v>
      </c>
      <c r="B285" t="s">
        <v>655</v>
      </c>
      <c r="C285" s="31" t="s">
        <v>227</v>
      </c>
      <c r="D285" s="103">
        <v>236</v>
      </c>
    </row>
    <row r="286" spans="1:4">
      <c r="A286" t="s">
        <v>566</v>
      </c>
      <c r="B286" t="s">
        <v>656</v>
      </c>
      <c r="C286" s="31" t="s">
        <v>227</v>
      </c>
      <c r="D286" s="103">
        <v>237</v>
      </c>
    </row>
    <row r="287" spans="1:4">
      <c r="A287" t="s">
        <v>566</v>
      </c>
      <c r="B287" t="s">
        <v>657</v>
      </c>
      <c r="C287" s="31" t="s">
        <v>227</v>
      </c>
      <c r="D287" s="103">
        <v>239</v>
      </c>
    </row>
    <row r="288" spans="1:4">
      <c r="A288" t="s">
        <v>566</v>
      </c>
      <c r="B288" t="s">
        <v>658</v>
      </c>
      <c r="C288" s="31" t="s">
        <v>227</v>
      </c>
      <c r="D288" s="103">
        <v>241</v>
      </c>
    </row>
    <row r="289" spans="1:4">
      <c r="A289" t="s">
        <v>566</v>
      </c>
      <c r="B289" t="s">
        <v>659</v>
      </c>
      <c r="C289" s="31" t="s">
        <v>227</v>
      </c>
      <c r="D289" s="103">
        <v>242</v>
      </c>
    </row>
    <row r="290" spans="1:4">
      <c r="A290" t="s">
        <v>566</v>
      </c>
      <c r="B290" t="s">
        <v>660</v>
      </c>
      <c r="C290" s="31" t="s">
        <v>227</v>
      </c>
      <c r="D290" s="103">
        <v>243</v>
      </c>
    </row>
    <row r="291" spans="1:4">
      <c r="A291" t="s">
        <v>566</v>
      </c>
      <c r="B291" t="s">
        <v>661</v>
      </c>
      <c r="C291" s="31" t="s">
        <v>227</v>
      </c>
      <c r="D291" s="103">
        <v>244</v>
      </c>
    </row>
    <row r="292" spans="1:4">
      <c r="A292" t="s">
        <v>566</v>
      </c>
      <c r="B292" t="s">
        <v>662</v>
      </c>
      <c r="C292" s="31" t="s">
        <v>227</v>
      </c>
      <c r="D292" s="103">
        <v>245</v>
      </c>
    </row>
    <row r="293" spans="1:4">
      <c r="A293" t="s">
        <v>566</v>
      </c>
      <c r="B293" t="s">
        <v>663</v>
      </c>
      <c r="C293" s="31" t="s">
        <v>227</v>
      </c>
      <c r="D293" s="103">
        <v>251</v>
      </c>
    </row>
    <row r="294" spans="1:4">
      <c r="A294" t="s">
        <v>566</v>
      </c>
      <c r="B294" t="s">
        <v>664</v>
      </c>
      <c r="C294" s="31" t="s">
        <v>227</v>
      </c>
      <c r="D294" s="103">
        <v>252</v>
      </c>
    </row>
    <row r="295" spans="1:4">
      <c r="A295" t="s">
        <v>566</v>
      </c>
      <c r="B295" t="s">
        <v>665</v>
      </c>
      <c r="C295" s="31" t="s">
        <v>227</v>
      </c>
      <c r="D295" s="103">
        <v>253</v>
      </c>
    </row>
    <row r="296" spans="1:4">
      <c r="A296" t="s">
        <v>566</v>
      </c>
      <c r="B296" t="s">
        <v>666</v>
      </c>
      <c r="C296" s="31" t="s">
        <v>227</v>
      </c>
      <c r="D296" s="103">
        <v>254</v>
      </c>
    </row>
    <row r="297" spans="1:4">
      <c r="A297" t="s">
        <v>566</v>
      </c>
      <c r="B297" t="s">
        <v>667</v>
      </c>
      <c r="C297" s="31" t="s">
        <v>227</v>
      </c>
      <c r="D297" s="103">
        <v>255</v>
      </c>
    </row>
    <row r="298" spans="1:4">
      <c r="A298" t="s">
        <v>566</v>
      </c>
      <c r="B298" t="s">
        <v>668</v>
      </c>
      <c r="C298" s="31" t="s">
        <v>227</v>
      </c>
      <c r="D298" s="103">
        <v>256</v>
      </c>
    </row>
    <row r="299" spans="1:4">
      <c r="A299" t="s">
        <v>566</v>
      </c>
      <c r="B299" t="s">
        <v>669</v>
      </c>
      <c r="C299" s="31" t="s">
        <v>227</v>
      </c>
      <c r="D299" s="103">
        <v>259</v>
      </c>
    </row>
    <row r="300" spans="1:4">
      <c r="A300" t="s">
        <v>566</v>
      </c>
      <c r="B300" t="s">
        <v>670</v>
      </c>
      <c r="C300" s="31" t="s">
        <v>227</v>
      </c>
      <c r="D300" s="103">
        <v>261</v>
      </c>
    </row>
    <row r="301" spans="1:4">
      <c r="A301" t="s">
        <v>566</v>
      </c>
      <c r="B301" t="s">
        <v>671</v>
      </c>
      <c r="C301" s="31" t="s">
        <v>227</v>
      </c>
      <c r="D301" s="103">
        <v>262</v>
      </c>
    </row>
    <row r="302" spans="1:4">
      <c r="A302" t="s">
        <v>566</v>
      </c>
      <c r="B302" t="s">
        <v>672</v>
      </c>
      <c r="C302" s="31" t="s">
        <v>227</v>
      </c>
      <c r="D302" s="103">
        <v>263</v>
      </c>
    </row>
    <row r="303" spans="1:4">
      <c r="A303" t="s">
        <v>566</v>
      </c>
      <c r="B303" t="s">
        <v>673</v>
      </c>
      <c r="C303" s="31" t="s">
        <v>227</v>
      </c>
      <c r="D303" s="103">
        <v>264</v>
      </c>
    </row>
    <row r="304" spans="1:4">
      <c r="A304" t="s">
        <v>566</v>
      </c>
      <c r="B304" t="s">
        <v>674</v>
      </c>
      <c r="C304" s="31" t="s">
        <v>227</v>
      </c>
      <c r="D304" s="103">
        <v>265</v>
      </c>
    </row>
    <row r="305" spans="1:4">
      <c r="A305" t="s">
        <v>566</v>
      </c>
      <c r="B305" t="s">
        <v>675</v>
      </c>
      <c r="C305" s="31" t="s">
        <v>227</v>
      </c>
      <c r="D305" s="103">
        <v>266</v>
      </c>
    </row>
    <row r="306" spans="1:4">
      <c r="A306" t="s">
        <v>566</v>
      </c>
      <c r="B306" t="s">
        <v>676</v>
      </c>
      <c r="C306" s="31" t="s">
        <v>227</v>
      </c>
      <c r="D306" s="103">
        <v>267</v>
      </c>
    </row>
    <row r="307" spans="1:4">
      <c r="A307" t="s">
        <v>566</v>
      </c>
      <c r="B307" t="s">
        <v>677</v>
      </c>
      <c r="C307" s="31" t="s">
        <v>227</v>
      </c>
      <c r="D307" s="103">
        <v>271</v>
      </c>
    </row>
    <row r="308" spans="1:4">
      <c r="A308" t="s">
        <v>566</v>
      </c>
      <c r="B308" t="s">
        <v>678</v>
      </c>
      <c r="C308" s="31" t="s">
        <v>227</v>
      </c>
      <c r="D308" s="103">
        <v>272</v>
      </c>
    </row>
    <row r="309" spans="1:4">
      <c r="A309" t="s">
        <v>566</v>
      </c>
      <c r="B309" t="s">
        <v>679</v>
      </c>
      <c r="C309" s="31" t="s">
        <v>227</v>
      </c>
      <c r="D309" s="103">
        <v>273</v>
      </c>
    </row>
    <row r="310" spans="1:4">
      <c r="A310" t="s">
        <v>566</v>
      </c>
      <c r="B310" t="s">
        <v>680</v>
      </c>
      <c r="C310" s="31" t="s">
        <v>227</v>
      </c>
      <c r="D310" s="103">
        <v>274</v>
      </c>
    </row>
    <row r="311" spans="1:4">
      <c r="A311" t="s">
        <v>566</v>
      </c>
      <c r="B311" t="s">
        <v>681</v>
      </c>
      <c r="C311" s="31" t="s">
        <v>227</v>
      </c>
      <c r="D311" s="103">
        <v>275</v>
      </c>
    </row>
    <row r="312" spans="1:4">
      <c r="A312" t="s">
        <v>566</v>
      </c>
      <c r="B312" t="s">
        <v>682</v>
      </c>
      <c r="C312" s="31" t="s">
        <v>227</v>
      </c>
      <c r="D312" s="103">
        <v>279</v>
      </c>
    </row>
    <row r="313" spans="1:4">
      <c r="A313" t="s">
        <v>566</v>
      </c>
      <c r="B313" t="s">
        <v>683</v>
      </c>
      <c r="C313" s="31" t="s">
        <v>227</v>
      </c>
      <c r="D313" s="103">
        <v>281</v>
      </c>
    </row>
    <row r="314" spans="1:4">
      <c r="A314" t="s">
        <v>566</v>
      </c>
      <c r="B314" t="s">
        <v>684</v>
      </c>
      <c r="C314" s="31" t="s">
        <v>227</v>
      </c>
      <c r="D314" s="103">
        <v>282</v>
      </c>
    </row>
    <row r="315" spans="1:4">
      <c r="A315" t="s">
        <v>566</v>
      </c>
      <c r="B315" t="s">
        <v>685</v>
      </c>
      <c r="C315" s="31" t="s">
        <v>227</v>
      </c>
      <c r="D315" s="103">
        <v>283</v>
      </c>
    </row>
    <row r="316" spans="1:4">
      <c r="A316" t="s">
        <v>566</v>
      </c>
      <c r="B316" t="s">
        <v>686</v>
      </c>
      <c r="C316" s="31" t="s">
        <v>227</v>
      </c>
      <c r="D316" s="103">
        <v>284</v>
      </c>
    </row>
    <row r="317" spans="1:4">
      <c r="A317" t="s">
        <v>566</v>
      </c>
      <c r="B317" t="s">
        <v>687</v>
      </c>
      <c r="C317" s="31" t="s">
        <v>227</v>
      </c>
      <c r="D317" s="103">
        <v>289</v>
      </c>
    </row>
    <row r="318" spans="1:4">
      <c r="A318" t="s">
        <v>566</v>
      </c>
      <c r="B318" t="s">
        <v>688</v>
      </c>
      <c r="C318" s="31" t="s">
        <v>227</v>
      </c>
      <c r="D318" s="103">
        <v>291</v>
      </c>
    </row>
    <row r="319" spans="1:4">
      <c r="A319" t="s">
        <v>566</v>
      </c>
      <c r="B319" t="s">
        <v>689</v>
      </c>
      <c r="C319" s="31" t="s">
        <v>227</v>
      </c>
      <c r="D319" s="103">
        <v>292</v>
      </c>
    </row>
    <row r="320" spans="1:4">
      <c r="A320" t="s">
        <v>566</v>
      </c>
      <c r="B320" t="s">
        <v>690</v>
      </c>
      <c r="C320" s="31" t="s">
        <v>227</v>
      </c>
      <c r="D320" s="103">
        <v>293</v>
      </c>
    </row>
    <row r="321" spans="1:4">
      <c r="A321" t="s">
        <v>566</v>
      </c>
      <c r="B321" t="s">
        <v>691</v>
      </c>
      <c r="C321" s="31" t="s">
        <v>227</v>
      </c>
      <c r="D321" s="103">
        <v>301</v>
      </c>
    </row>
    <row r="322" spans="1:4">
      <c r="A322" t="s">
        <v>566</v>
      </c>
      <c r="B322" t="s">
        <v>692</v>
      </c>
      <c r="C322" s="31" t="s">
        <v>227</v>
      </c>
      <c r="D322" s="103">
        <v>302</v>
      </c>
    </row>
    <row r="323" spans="1:4">
      <c r="A323" t="s">
        <v>566</v>
      </c>
      <c r="B323" t="s">
        <v>693</v>
      </c>
      <c r="C323" s="31" t="s">
        <v>227</v>
      </c>
      <c r="D323" s="103">
        <v>303</v>
      </c>
    </row>
    <row r="324" spans="1:4">
      <c r="A324" t="s">
        <v>566</v>
      </c>
      <c r="B324" t="s">
        <v>694</v>
      </c>
      <c r="C324" s="31" t="s">
        <v>227</v>
      </c>
      <c r="D324" s="103">
        <v>304</v>
      </c>
    </row>
    <row r="325" spans="1:4">
      <c r="A325" t="s">
        <v>566</v>
      </c>
      <c r="B325" t="s">
        <v>695</v>
      </c>
      <c r="C325" s="31" t="s">
        <v>227</v>
      </c>
      <c r="D325" s="103">
        <v>309</v>
      </c>
    </row>
    <row r="326" spans="1:4">
      <c r="A326" t="s">
        <v>566</v>
      </c>
      <c r="B326" t="s">
        <v>696</v>
      </c>
      <c r="C326" s="31" t="s">
        <v>227</v>
      </c>
      <c r="D326" s="103">
        <v>310</v>
      </c>
    </row>
    <row r="327" spans="1:4">
      <c r="A327" t="s">
        <v>566</v>
      </c>
      <c r="B327" t="s">
        <v>697</v>
      </c>
      <c r="C327" s="31" t="s">
        <v>227</v>
      </c>
      <c r="D327" s="103">
        <v>321</v>
      </c>
    </row>
    <row r="328" spans="1:4">
      <c r="A328" t="s">
        <v>566</v>
      </c>
      <c r="B328" t="s">
        <v>698</v>
      </c>
      <c r="C328" s="31" t="s">
        <v>227</v>
      </c>
      <c r="D328" s="103">
        <v>322</v>
      </c>
    </row>
    <row r="329" spans="1:4">
      <c r="A329" t="s">
        <v>566</v>
      </c>
      <c r="B329" t="s">
        <v>699</v>
      </c>
      <c r="C329" s="31" t="s">
        <v>227</v>
      </c>
      <c r="D329" s="103">
        <v>323</v>
      </c>
    </row>
    <row r="330" spans="1:4">
      <c r="A330" t="s">
        <v>566</v>
      </c>
      <c r="B330" t="s">
        <v>700</v>
      </c>
      <c r="C330" s="31" t="s">
        <v>227</v>
      </c>
      <c r="D330" s="103">
        <v>324</v>
      </c>
    </row>
    <row r="331" spans="1:4">
      <c r="A331" t="s">
        <v>566</v>
      </c>
      <c r="B331" t="s">
        <v>701</v>
      </c>
      <c r="C331" s="31" t="s">
        <v>227</v>
      </c>
      <c r="D331" s="103">
        <v>325</v>
      </c>
    </row>
    <row r="332" spans="1:4">
      <c r="A332" t="s">
        <v>566</v>
      </c>
      <c r="B332" t="s">
        <v>702</v>
      </c>
      <c r="C332" s="31" t="s">
        <v>227</v>
      </c>
      <c r="D332" s="103">
        <v>329</v>
      </c>
    </row>
    <row r="333" spans="1:4">
      <c r="A333" t="s">
        <v>566</v>
      </c>
      <c r="B333" t="s">
        <v>703</v>
      </c>
      <c r="C333" s="31" t="s">
        <v>227</v>
      </c>
      <c r="D333" s="103">
        <v>331</v>
      </c>
    </row>
    <row r="334" spans="1:4">
      <c r="A334" t="s">
        <v>566</v>
      </c>
      <c r="B334" t="s">
        <v>704</v>
      </c>
      <c r="C334" s="31" t="s">
        <v>227</v>
      </c>
      <c r="D334" s="103">
        <v>332</v>
      </c>
    </row>
    <row r="335" spans="1:4">
      <c r="A335" t="s">
        <v>566</v>
      </c>
      <c r="B335" t="s">
        <v>705</v>
      </c>
      <c r="C335" s="31" t="s">
        <v>227</v>
      </c>
      <c r="D335" s="103">
        <v>351</v>
      </c>
    </row>
    <row r="336" spans="1:4">
      <c r="A336" t="s">
        <v>566</v>
      </c>
      <c r="B336" t="s">
        <v>706</v>
      </c>
      <c r="C336" s="31" t="s">
        <v>227</v>
      </c>
      <c r="D336" s="103">
        <v>352</v>
      </c>
    </row>
    <row r="337" spans="1:4">
      <c r="A337" t="s">
        <v>566</v>
      </c>
      <c r="B337" t="s">
        <v>707</v>
      </c>
      <c r="C337" s="31" t="s">
        <v>227</v>
      </c>
      <c r="D337" s="103">
        <v>353</v>
      </c>
    </row>
    <row r="338" spans="1:4">
      <c r="A338" t="s">
        <v>566</v>
      </c>
      <c r="B338" t="s">
        <v>708</v>
      </c>
      <c r="C338" s="31" t="s">
        <v>227</v>
      </c>
      <c r="D338" s="103">
        <v>354</v>
      </c>
    </row>
    <row r="339" spans="1:4">
      <c r="A339" t="s">
        <v>566</v>
      </c>
      <c r="B339" t="s">
        <v>709</v>
      </c>
      <c r="C339" s="31" t="s">
        <v>227</v>
      </c>
      <c r="D339" s="103">
        <v>360</v>
      </c>
    </row>
    <row r="340" spans="1:4">
      <c r="A340" t="s">
        <v>566</v>
      </c>
      <c r="B340" t="s">
        <v>710</v>
      </c>
      <c r="C340" s="31" t="s">
        <v>227</v>
      </c>
      <c r="D340" s="103">
        <v>370</v>
      </c>
    </row>
    <row r="341" spans="1:4">
      <c r="A341" t="s">
        <v>566</v>
      </c>
      <c r="B341" t="s">
        <v>711</v>
      </c>
      <c r="C341" s="31" t="s">
        <v>227</v>
      </c>
      <c r="D341" s="103">
        <v>381</v>
      </c>
    </row>
    <row r="342" spans="1:4">
      <c r="A342" t="s">
        <v>566</v>
      </c>
      <c r="B342" t="s">
        <v>712</v>
      </c>
      <c r="C342" s="31" t="s">
        <v>227</v>
      </c>
      <c r="D342" s="103">
        <v>382</v>
      </c>
    </row>
    <row r="343" spans="1:4">
      <c r="A343" t="s">
        <v>566</v>
      </c>
      <c r="B343" t="s">
        <v>713</v>
      </c>
      <c r="C343" s="31" t="s">
        <v>227</v>
      </c>
      <c r="D343" s="103">
        <v>383</v>
      </c>
    </row>
    <row r="344" spans="1:4">
      <c r="A344" t="s">
        <v>566</v>
      </c>
      <c r="B344" t="s">
        <v>714</v>
      </c>
      <c r="C344" s="31" t="s">
        <v>227</v>
      </c>
      <c r="D344" s="103">
        <v>390</v>
      </c>
    </row>
    <row r="345" spans="1:4">
      <c r="A345" t="s">
        <v>566</v>
      </c>
      <c r="B345" t="s">
        <v>715</v>
      </c>
      <c r="C345" s="31" t="s">
        <v>227</v>
      </c>
      <c r="D345" s="103">
        <v>410</v>
      </c>
    </row>
    <row r="346" spans="1:4">
      <c r="A346" t="s">
        <v>566</v>
      </c>
      <c r="B346" t="s">
        <v>716</v>
      </c>
      <c r="C346" s="31" t="s">
        <v>227</v>
      </c>
      <c r="D346" s="103">
        <v>421</v>
      </c>
    </row>
    <row r="347" spans="1:4">
      <c r="A347" t="s">
        <v>566</v>
      </c>
      <c r="B347" t="s">
        <v>717</v>
      </c>
      <c r="C347" s="31" t="s">
        <v>227</v>
      </c>
      <c r="D347" s="103">
        <v>422</v>
      </c>
    </row>
    <row r="348" spans="1:4">
      <c r="A348" t="s">
        <v>566</v>
      </c>
      <c r="B348" t="s">
        <v>718</v>
      </c>
      <c r="C348" s="31" t="s">
        <v>227</v>
      </c>
      <c r="D348" s="103">
        <v>429</v>
      </c>
    </row>
    <row r="349" spans="1:4">
      <c r="A349" t="s">
        <v>566</v>
      </c>
      <c r="B349" t="s">
        <v>719</v>
      </c>
      <c r="C349" s="31" t="s">
        <v>227</v>
      </c>
      <c r="D349" s="103">
        <v>431</v>
      </c>
    </row>
    <row r="350" spans="1:4">
      <c r="A350" t="s">
        <v>566</v>
      </c>
      <c r="B350" t="s">
        <v>720</v>
      </c>
      <c r="C350" s="31" t="s">
        <v>227</v>
      </c>
      <c r="D350" s="103">
        <v>432</v>
      </c>
    </row>
    <row r="351" spans="1:4">
      <c r="A351" t="s">
        <v>566</v>
      </c>
      <c r="B351" t="s">
        <v>721</v>
      </c>
      <c r="C351" s="31" t="s">
        <v>227</v>
      </c>
      <c r="D351" s="103">
        <v>433</v>
      </c>
    </row>
    <row r="352" spans="1:4">
      <c r="A352" t="s">
        <v>566</v>
      </c>
      <c r="B352" t="s">
        <v>722</v>
      </c>
      <c r="C352" s="31" t="s">
        <v>227</v>
      </c>
      <c r="D352" s="103">
        <v>434</v>
      </c>
    </row>
    <row r="353" spans="1:4">
      <c r="A353" t="s">
        <v>566</v>
      </c>
      <c r="B353" t="s">
        <v>723</v>
      </c>
      <c r="C353" s="31" t="s">
        <v>227</v>
      </c>
      <c r="D353" s="103">
        <v>435</v>
      </c>
    </row>
    <row r="354" spans="1:4">
      <c r="A354" t="s">
        <v>566</v>
      </c>
      <c r="B354" t="s">
        <v>724</v>
      </c>
      <c r="C354" s="31" t="s">
        <v>227</v>
      </c>
      <c r="D354" s="103">
        <v>436</v>
      </c>
    </row>
    <row r="355" spans="1:4">
      <c r="A355" t="s">
        <v>566</v>
      </c>
      <c r="B355" t="s">
        <v>725</v>
      </c>
      <c r="C355" s="31" t="s">
        <v>227</v>
      </c>
      <c r="D355" s="103">
        <v>439</v>
      </c>
    </row>
    <row r="356" spans="1:4">
      <c r="A356" t="s">
        <v>566</v>
      </c>
      <c r="B356" t="s">
        <v>726</v>
      </c>
      <c r="C356" s="31" t="s">
        <v>227</v>
      </c>
      <c r="D356" s="103">
        <v>461</v>
      </c>
    </row>
    <row r="357" spans="1:4">
      <c r="A357" t="s">
        <v>566</v>
      </c>
      <c r="B357" t="s">
        <v>727</v>
      </c>
      <c r="C357" s="31" t="s">
        <v>227</v>
      </c>
      <c r="D357" s="103">
        <v>462</v>
      </c>
    </row>
    <row r="358" spans="1:4">
      <c r="A358" t="s">
        <v>566</v>
      </c>
      <c r="B358" t="s">
        <v>728</v>
      </c>
      <c r="C358" s="31" t="s">
        <v>227</v>
      </c>
      <c r="D358" s="103">
        <v>463</v>
      </c>
    </row>
    <row r="359" spans="1:4">
      <c r="A359" t="s">
        <v>566</v>
      </c>
      <c r="B359" t="s">
        <v>729</v>
      </c>
      <c r="C359" s="31" t="s">
        <v>227</v>
      </c>
      <c r="D359" s="103">
        <v>464</v>
      </c>
    </row>
    <row r="360" spans="1:4">
      <c r="A360" t="s">
        <v>566</v>
      </c>
      <c r="B360" t="s">
        <v>730</v>
      </c>
      <c r="C360" s="31" t="s">
        <v>227</v>
      </c>
      <c r="D360" s="103">
        <v>465</v>
      </c>
    </row>
    <row r="361" spans="1:4">
      <c r="A361" t="s">
        <v>566</v>
      </c>
      <c r="B361" t="s">
        <v>731</v>
      </c>
      <c r="C361" s="31" t="s">
        <v>227</v>
      </c>
      <c r="D361" s="103">
        <v>466</v>
      </c>
    </row>
    <row r="362" spans="1:4">
      <c r="A362" t="s">
        <v>566</v>
      </c>
      <c r="B362" t="s">
        <v>732</v>
      </c>
      <c r="C362" s="31" t="s">
        <v>227</v>
      </c>
      <c r="D362" s="103">
        <v>467</v>
      </c>
    </row>
    <row r="363" spans="1:4">
      <c r="A363" t="s">
        <v>566</v>
      </c>
      <c r="B363" t="s">
        <v>733</v>
      </c>
      <c r="C363" s="31" t="s">
        <v>227</v>
      </c>
      <c r="D363" s="103">
        <v>468</v>
      </c>
    </row>
    <row r="364" spans="1:4">
      <c r="A364" t="s">
        <v>566</v>
      </c>
      <c r="B364" t="s">
        <v>734</v>
      </c>
      <c r="C364" s="31" t="s">
        <v>227</v>
      </c>
      <c r="D364" s="103">
        <v>469</v>
      </c>
    </row>
    <row r="365" spans="1:4">
      <c r="A365" t="s">
        <v>566</v>
      </c>
      <c r="B365" t="s">
        <v>735</v>
      </c>
      <c r="C365" s="31" t="s">
        <v>227</v>
      </c>
      <c r="D365" s="103">
        <v>471</v>
      </c>
    </row>
    <row r="366" spans="1:4">
      <c r="A366" t="s">
        <v>566</v>
      </c>
      <c r="B366" t="s">
        <v>736</v>
      </c>
      <c r="C366" s="31" t="s">
        <v>227</v>
      </c>
      <c r="D366" s="103">
        <v>472</v>
      </c>
    </row>
    <row r="367" spans="1:4">
      <c r="A367" t="s">
        <v>566</v>
      </c>
      <c r="B367" t="s">
        <v>737</v>
      </c>
      <c r="C367" s="31" t="s">
        <v>227</v>
      </c>
      <c r="D367" s="103">
        <v>473</v>
      </c>
    </row>
    <row r="368" spans="1:4">
      <c r="A368" t="s">
        <v>566</v>
      </c>
      <c r="B368" t="s">
        <v>738</v>
      </c>
      <c r="C368" s="31" t="s">
        <v>227</v>
      </c>
      <c r="D368" s="103">
        <v>474</v>
      </c>
    </row>
    <row r="369" spans="1:4">
      <c r="A369" t="s">
        <v>566</v>
      </c>
      <c r="B369" t="s">
        <v>739</v>
      </c>
      <c r="C369" s="31" t="s">
        <v>227</v>
      </c>
      <c r="D369" s="103">
        <v>475</v>
      </c>
    </row>
    <row r="370" spans="1:4">
      <c r="A370" t="s">
        <v>566</v>
      </c>
      <c r="B370" t="s">
        <v>740</v>
      </c>
      <c r="C370" s="31" t="s">
        <v>227</v>
      </c>
      <c r="D370" s="103">
        <v>476</v>
      </c>
    </row>
    <row r="371" spans="1:4">
      <c r="A371" t="s">
        <v>566</v>
      </c>
      <c r="B371" t="s">
        <v>741</v>
      </c>
      <c r="C371" s="31" t="s">
        <v>227</v>
      </c>
      <c r="D371" s="103">
        <v>477</v>
      </c>
    </row>
    <row r="372" spans="1:4">
      <c r="A372" t="s">
        <v>566</v>
      </c>
      <c r="B372" t="s">
        <v>742</v>
      </c>
      <c r="C372" s="31" t="s">
        <v>227</v>
      </c>
      <c r="D372" s="103">
        <v>478</v>
      </c>
    </row>
    <row r="373" spans="1:4">
      <c r="A373" t="s">
        <v>566</v>
      </c>
      <c r="B373" t="s">
        <v>743</v>
      </c>
      <c r="C373" s="31" t="s">
        <v>227</v>
      </c>
      <c r="D373" s="103">
        <v>479</v>
      </c>
    </row>
    <row r="374" spans="1:4">
      <c r="A374" t="s">
        <v>566</v>
      </c>
      <c r="B374" t="s">
        <v>744</v>
      </c>
      <c r="C374" s="31" t="s">
        <v>227</v>
      </c>
      <c r="D374" s="103">
        <v>491</v>
      </c>
    </row>
    <row r="375" spans="1:4">
      <c r="A375" t="s">
        <v>566</v>
      </c>
      <c r="B375" t="s">
        <v>745</v>
      </c>
      <c r="C375" s="31" t="s">
        <v>227</v>
      </c>
      <c r="D375" s="103">
        <v>492</v>
      </c>
    </row>
    <row r="376" spans="1:4">
      <c r="A376" t="s">
        <v>566</v>
      </c>
      <c r="B376" t="s">
        <v>746</v>
      </c>
      <c r="C376" s="31" t="s">
        <v>227</v>
      </c>
      <c r="D376" s="103">
        <v>493</v>
      </c>
    </row>
    <row r="377" spans="1:4">
      <c r="A377" t="s">
        <v>566</v>
      </c>
      <c r="B377" t="s">
        <v>747</v>
      </c>
      <c r="C377" s="31" t="s">
        <v>227</v>
      </c>
      <c r="D377" s="103">
        <v>494</v>
      </c>
    </row>
    <row r="378" spans="1:4">
      <c r="A378" t="s">
        <v>566</v>
      </c>
      <c r="B378" t="s">
        <v>748</v>
      </c>
      <c r="C378" s="31" t="s">
        <v>227</v>
      </c>
      <c r="D378" s="103">
        <v>495</v>
      </c>
    </row>
    <row r="379" spans="1:4">
      <c r="A379" t="s">
        <v>566</v>
      </c>
      <c r="B379" t="s">
        <v>749</v>
      </c>
      <c r="C379" s="31" t="s">
        <v>227</v>
      </c>
      <c r="D379" s="103">
        <v>501</v>
      </c>
    </row>
    <row r="380" spans="1:4">
      <c r="A380" t="s">
        <v>566</v>
      </c>
      <c r="B380" t="s">
        <v>750</v>
      </c>
      <c r="C380" s="31" t="s">
        <v>227</v>
      </c>
      <c r="D380" s="103">
        <v>502</v>
      </c>
    </row>
    <row r="381" spans="1:4">
      <c r="A381" t="s">
        <v>566</v>
      </c>
      <c r="B381" t="s">
        <v>751</v>
      </c>
      <c r="C381" s="31" t="s">
        <v>227</v>
      </c>
      <c r="D381" s="103">
        <v>503</v>
      </c>
    </row>
    <row r="382" spans="1:4">
      <c r="A382" t="s">
        <v>566</v>
      </c>
      <c r="B382" t="s">
        <v>752</v>
      </c>
      <c r="C382" s="31" t="s">
        <v>227</v>
      </c>
      <c r="D382" s="103">
        <v>504</v>
      </c>
    </row>
    <row r="383" spans="1:4">
      <c r="A383" t="s">
        <v>566</v>
      </c>
      <c r="B383" t="s">
        <v>753</v>
      </c>
      <c r="C383" s="31" t="s">
        <v>227</v>
      </c>
      <c r="D383" s="103">
        <v>511</v>
      </c>
    </row>
    <row r="384" spans="1:4">
      <c r="A384" t="s">
        <v>566</v>
      </c>
      <c r="B384" t="s">
        <v>754</v>
      </c>
      <c r="C384" s="31" t="s">
        <v>227</v>
      </c>
      <c r="D384" s="103">
        <v>512</v>
      </c>
    </row>
    <row r="385" spans="1:4">
      <c r="A385" t="s">
        <v>566</v>
      </c>
      <c r="B385" t="s">
        <v>755</v>
      </c>
      <c r="C385" s="31" t="s">
        <v>227</v>
      </c>
      <c r="D385" s="103">
        <v>521</v>
      </c>
    </row>
    <row r="386" spans="1:4">
      <c r="A386" t="s">
        <v>566</v>
      </c>
      <c r="B386" t="s">
        <v>756</v>
      </c>
      <c r="C386" s="31" t="s">
        <v>227</v>
      </c>
      <c r="D386" s="103">
        <v>522</v>
      </c>
    </row>
    <row r="387" spans="1:4">
      <c r="A387" t="s">
        <v>566</v>
      </c>
      <c r="B387" t="s">
        <v>757</v>
      </c>
      <c r="C387" s="31" t="s">
        <v>227</v>
      </c>
      <c r="D387" s="103">
        <v>523</v>
      </c>
    </row>
    <row r="388" spans="1:4">
      <c r="A388" t="s">
        <v>566</v>
      </c>
      <c r="B388" t="s">
        <v>758</v>
      </c>
      <c r="C388" s="31" t="s">
        <v>227</v>
      </c>
      <c r="D388" s="103">
        <v>531</v>
      </c>
    </row>
    <row r="389" spans="1:4">
      <c r="A389" t="s">
        <v>566</v>
      </c>
      <c r="B389" t="s">
        <v>759</v>
      </c>
      <c r="C389" s="31" t="s">
        <v>227</v>
      </c>
      <c r="D389" s="103">
        <v>532</v>
      </c>
    </row>
    <row r="390" spans="1:4">
      <c r="A390" t="s">
        <v>566</v>
      </c>
      <c r="B390" t="s">
        <v>760</v>
      </c>
      <c r="C390" s="31" t="s">
        <v>227</v>
      </c>
      <c r="D390" s="103">
        <v>533</v>
      </c>
    </row>
    <row r="391" spans="1:4">
      <c r="A391" t="s">
        <v>566</v>
      </c>
      <c r="B391" t="s">
        <v>761</v>
      </c>
      <c r="C391" s="31" t="s">
        <v>227</v>
      </c>
      <c r="D391" s="103">
        <v>551</v>
      </c>
    </row>
    <row r="392" spans="1:4">
      <c r="A392" t="s">
        <v>566</v>
      </c>
      <c r="B392" t="s">
        <v>762</v>
      </c>
      <c r="C392" s="31" t="s">
        <v>227</v>
      </c>
      <c r="D392" s="103">
        <v>552</v>
      </c>
    </row>
    <row r="393" spans="1:4">
      <c r="A393" t="s">
        <v>566</v>
      </c>
      <c r="B393" t="s">
        <v>763</v>
      </c>
      <c r="C393" s="31" t="s">
        <v>227</v>
      </c>
      <c r="D393" s="103">
        <v>553</v>
      </c>
    </row>
    <row r="394" spans="1:4">
      <c r="A394" t="s">
        <v>566</v>
      </c>
      <c r="B394" t="s">
        <v>764</v>
      </c>
      <c r="C394" s="31" t="s">
        <v>227</v>
      </c>
      <c r="D394" s="103">
        <v>554</v>
      </c>
    </row>
    <row r="395" spans="1:4">
      <c r="A395" t="s">
        <v>566</v>
      </c>
      <c r="B395" t="s">
        <v>765</v>
      </c>
      <c r="C395" s="31" t="s">
        <v>227</v>
      </c>
      <c r="D395" s="103">
        <v>559</v>
      </c>
    </row>
    <row r="396" spans="1:4">
      <c r="A396" t="s">
        <v>566</v>
      </c>
      <c r="B396" t="s">
        <v>766</v>
      </c>
      <c r="C396" s="31" t="s">
        <v>227</v>
      </c>
      <c r="D396" s="103">
        <v>561</v>
      </c>
    </row>
    <row r="397" spans="1:4">
      <c r="A397" t="s">
        <v>566</v>
      </c>
      <c r="B397" t="s">
        <v>767</v>
      </c>
      <c r="C397" s="31" t="s">
        <v>227</v>
      </c>
      <c r="D397" s="103">
        <v>562</v>
      </c>
    </row>
    <row r="398" spans="1:4">
      <c r="A398" t="s">
        <v>566</v>
      </c>
      <c r="B398" t="s">
        <v>768</v>
      </c>
      <c r="C398" s="31" t="s">
        <v>227</v>
      </c>
      <c r="D398" s="103">
        <v>563</v>
      </c>
    </row>
    <row r="399" spans="1:4">
      <c r="A399" t="s">
        <v>566</v>
      </c>
      <c r="B399" t="s">
        <v>769</v>
      </c>
      <c r="C399" s="31" t="s">
        <v>227</v>
      </c>
      <c r="D399" s="103">
        <v>564</v>
      </c>
    </row>
    <row r="400" spans="1:4">
      <c r="A400" t="s">
        <v>566</v>
      </c>
      <c r="B400" t="s">
        <v>770</v>
      </c>
      <c r="C400" s="31" t="s">
        <v>227</v>
      </c>
      <c r="D400" s="103">
        <v>581</v>
      </c>
    </row>
    <row r="401" spans="1:4">
      <c r="A401" t="s">
        <v>566</v>
      </c>
      <c r="B401" t="s">
        <v>771</v>
      </c>
      <c r="C401" s="31" t="s">
        <v>227</v>
      </c>
      <c r="D401" s="103">
        <v>582</v>
      </c>
    </row>
    <row r="402" spans="1:4">
      <c r="A402" t="s">
        <v>566</v>
      </c>
      <c r="B402" t="s">
        <v>772</v>
      </c>
      <c r="C402" s="31" t="s">
        <v>227</v>
      </c>
      <c r="D402" s="103">
        <v>591</v>
      </c>
    </row>
    <row r="403" spans="1:4">
      <c r="A403" t="s">
        <v>566</v>
      </c>
      <c r="B403" t="s">
        <v>773</v>
      </c>
      <c r="C403" s="31" t="s">
        <v>227</v>
      </c>
      <c r="D403" s="103">
        <v>592</v>
      </c>
    </row>
    <row r="404" spans="1:4">
      <c r="A404" t="s">
        <v>566</v>
      </c>
      <c r="B404" t="s">
        <v>774</v>
      </c>
      <c r="C404" s="31" t="s">
        <v>227</v>
      </c>
      <c r="D404" s="103">
        <v>601</v>
      </c>
    </row>
    <row r="405" spans="1:4">
      <c r="A405" t="s">
        <v>566</v>
      </c>
      <c r="B405" t="s">
        <v>775</v>
      </c>
      <c r="C405" s="31" t="s">
        <v>227</v>
      </c>
      <c r="D405" s="103">
        <v>602</v>
      </c>
    </row>
    <row r="406" spans="1:4">
      <c r="A406" t="s">
        <v>566</v>
      </c>
      <c r="B406" t="s">
        <v>776</v>
      </c>
      <c r="C406" s="31" t="s">
        <v>227</v>
      </c>
      <c r="D406" s="103">
        <v>603</v>
      </c>
    </row>
    <row r="407" spans="1:4">
      <c r="A407" t="s">
        <v>566</v>
      </c>
      <c r="B407" t="s">
        <v>777</v>
      </c>
      <c r="C407" s="31" t="s">
        <v>227</v>
      </c>
      <c r="D407" s="103">
        <v>611</v>
      </c>
    </row>
    <row r="408" spans="1:4">
      <c r="A408" t="s">
        <v>566</v>
      </c>
      <c r="B408" t="s">
        <v>778</v>
      </c>
      <c r="C408" s="31" t="s">
        <v>227</v>
      </c>
      <c r="D408" s="103">
        <v>612</v>
      </c>
    </row>
    <row r="409" spans="1:4">
      <c r="A409" t="s">
        <v>566</v>
      </c>
      <c r="B409" t="s">
        <v>779</v>
      </c>
      <c r="C409" s="31" t="s">
        <v>227</v>
      </c>
      <c r="D409" s="103">
        <v>619</v>
      </c>
    </row>
    <row r="410" spans="1:4">
      <c r="A410" t="s">
        <v>566</v>
      </c>
      <c r="B410" t="s">
        <v>780</v>
      </c>
      <c r="C410" s="31" t="s">
        <v>227</v>
      </c>
      <c r="D410" s="103">
        <v>621</v>
      </c>
    </row>
    <row r="411" spans="1:4">
      <c r="A411" t="s">
        <v>566</v>
      </c>
      <c r="B411" t="s">
        <v>781</v>
      </c>
      <c r="C411" s="31" t="s">
        <v>227</v>
      </c>
      <c r="D411" s="103">
        <v>622</v>
      </c>
    </row>
    <row r="412" spans="1:4">
      <c r="A412" t="s">
        <v>566</v>
      </c>
      <c r="B412" t="s">
        <v>782</v>
      </c>
      <c r="C412" s="31" t="s">
        <v>227</v>
      </c>
      <c r="D412" s="103">
        <v>629</v>
      </c>
    </row>
    <row r="413" spans="1:4">
      <c r="A413" t="s">
        <v>566</v>
      </c>
      <c r="B413" t="s">
        <v>783</v>
      </c>
      <c r="C413" s="31" t="s">
        <v>227</v>
      </c>
      <c r="D413" s="103">
        <v>631</v>
      </c>
    </row>
    <row r="414" spans="1:4">
      <c r="A414" t="s">
        <v>566</v>
      </c>
      <c r="B414" t="s">
        <v>784</v>
      </c>
      <c r="C414" s="31" t="s">
        <v>227</v>
      </c>
      <c r="D414" s="103">
        <v>639</v>
      </c>
    </row>
    <row r="415" spans="1:4">
      <c r="A415" t="s">
        <v>566</v>
      </c>
      <c r="B415" t="s">
        <v>785</v>
      </c>
      <c r="C415" s="31" t="s">
        <v>227</v>
      </c>
      <c r="D415" s="103">
        <v>641</v>
      </c>
    </row>
    <row r="416" spans="1:4">
      <c r="A416" t="s">
        <v>566</v>
      </c>
      <c r="B416" t="s">
        <v>786</v>
      </c>
      <c r="C416" s="31" t="s">
        <v>227</v>
      </c>
      <c r="D416" s="103">
        <v>642</v>
      </c>
    </row>
    <row r="417" spans="1:4">
      <c r="A417" t="s">
        <v>566</v>
      </c>
      <c r="B417" t="s">
        <v>787</v>
      </c>
      <c r="C417" s="31" t="s">
        <v>227</v>
      </c>
      <c r="D417" s="103">
        <v>643</v>
      </c>
    </row>
    <row r="418" spans="1:4">
      <c r="A418" t="s">
        <v>566</v>
      </c>
      <c r="B418" t="s">
        <v>788</v>
      </c>
      <c r="C418" s="31" t="s">
        <v>227</v>
      </c>
      <c r="D418" s="103">
        <v>649</v>
      </c>
    </row>
    <row r="419" spans="1:4">
      <c r="A419" t="s">
        <v>566</v>
      </c>
      <c r="B419" t="s">
        <v>789</v>
      </c>
      <c r="C419" s="31" t="s">
        <v>227</v>
      </c>
      <c r="D419" s="103">
        <v>651</v>
      </c>
    </row>
    <row r="420" spans="1:4">
      <c r="A420" t="s">
        <v>566</v>
      </c>
      <c r="B420" t="s">
        <v>790</v>
      </c>
      <c r="C420" s="31" t="s">
        <v>227</v>
      </c>
      <c r="D420" s="103">
        <v>652</v>
      </c>
    </row>
    <row r="421" spans="1:4">
      <c r="A421" t="s">
        <v>566</v>
      </c>
      <c r="B421" t="s">
        <v>791</v>
      </c>
      <c r="C421" s="31" t="s">
        <v>227</v>
      </c>
      <c r="D421" s="103">
        <v>653</v>
      </c>
    </row>
    <row r="422" spans="1:4">
      <c r="A422" t="s">
        <v>566</v>
      </c>
      <c r="B422" t="s">
        <v>792</v>
      </c>
      <c r="C422" s="31" t="s">
        <v>227</v>
      </c>
      <c r="D422" s="103">
        <v>661</v>
      </c>
    </row>
    <row r="423" spans="1:4">
      <c r="A423" t="s">
        <v>566</v>
      </c>
      <c r="B423" t="s">
        <v>793</v>
      </c>
      <c r="C423" s="31" t="s">
        <v>227</v>
      </c>
      <c r="D423" s="103">
        <v>662</v>
      </c>
    </row>
    <row r="424" spans="1:4">
      <c r="A424" t="s">
        <v>566</v>
      </c>
      <c r="B424" t="s">
        <v>794</v>
      </c>
      <c r="C424" s="31" t="s">
        <v>227</v>
      </c>
      <c r="D424" s="103">
        <v>663</v>
      </c>
    </row>
    <row r="425" spans="1:4">
      <c r="A425" t="s">
        <v>566</v>
      </c>
      <c r="B425" t="s">
        <v>795</v>
      </c>
      <c r="C425" s="31" t="s">
        <v>227</v>
      </c>
      <c r="D425" s="103">
        <v>681</v>
      </c>
    </row>
    <row r="426" spans="1:4">
      <c r="A426" t="s">
        <v>566</v>
      </c>
      <c r="B426" t="s">
        <v>796</v>
      </c>
      <c r="C426" s="31" t="s">
        <v>227</v>
      </c>
      <c r="D426" s="103">
        <v>682</v>
      </c>
    </row>
    <row r="427" spans="1:4">
      <c r="A427" t="s">
        <v>566</v>
      </c>
      <c r="B427" t="s">
        <v>797</v>
      </c>
      <c r="C427" s="31" t="s">
        <v>227</v>
      </c>
      <c r="D427" s="103">
        <v>683</v>
      </c>
    </row>
    <row r="428" spans="1:4">
      <c r="A428" t="s">
        <v>566</v>
      </c>
      <c r="B428" t="s">
        <v>798</v>
      </c>
      <c r="C428" s="31" t="s">
        <v>227</v>
      </c>
      <c r="D428" s="103">
        <v>691</v>
      </c>
    </row>
    <row r="429" spans="1:4">
      <c r="A429" t="s">
        <v>566</v>
      </c>
      <c r="B429" t="s">
        <v>799</v>
      </c>
      <c r="C429" s="31" t="s">
        <v>227</v>
      </c>
      <c r="D429" s="103">
        <v>692</v>
      </c>
    </row>
    <row r="430" spans="1:4">
      <c r="A430" t="s">
        <v>566</v>
      </c>
      <c r="B430" t="s">
        <v>800</v>
      </c>
      <c r="C430" s="31" t="s">
        <v>227</v>
      </c>
      <c r="D430" s="103">
        <v>701</v>
      </c>
    </row>
    <row r="431" spans="1:4">
      <c r="A431" t="s">
        <v>566</v>
      </c>
      <c r="B431" t="s">
        <v>801</v>
      </c>
      <c r="C431" s="31" t="s">
        <v>227</v>
      </c>
      <c r="D431" s="103">
        <v>702</v>
      </c>
    </row>
    <row r="432" spans="1:4">
      <c r="A432" t="s">
        <v>566</v>
      </c>
      <c r="B432" t="s">
        <v>802</v>
      </c>
      <c r="C432" s="31" t="s">
        <v>227</v>
      </c>
      <c r="D432" s="103">
        <v>711</v>
      </c>
    </row>
    <row r="433" spans="1:4">
      <c r="A433" t="s">
        <v>566</v>
      </c>
      <c r="B433" t="s">
        <v>803</v>
      </c>
      <c r="C433" s="31" t="s">
        <v>227</v>
      </c>
      <c r="D433" s="103">
        <v>712</v>
      </c>
    </row>
    <row r="434" spans="1:4">
      <c r="A434" t="s">
        <v>566</v>
      </c>
      <c r="B434" t="s">
        <v>804</v>
      </c>
      <c r="C434" s="31" t="s">
        <v>227</v>
      </c>
      <c r="D434" s="103">
        <v>721</v>
      </c>
    </row>
    <row r="435" spans="1:4">
      <c r="A435" t="s">
        <v>566</v>
      </c>
      <c r="B435" t="s">
        <v>805</v>
      </c>
      <c r="C435" s="31" t="s">
        <v>227</v>
      </c>
      <c r="D435" s="103">
        <v>722</v>
      </c>
    </row>
    <row r="436" spans="1:4">
      <c r="A436" t="s">
        <v>566</v>
      </c>
      <c r="B436" t="s">
        <v>806</v>
      </c>
      <c r="C436" s="31" t="s">
        <v>227</v>
      </c>
      <c r="D436" s="103">
        <v>731</v>
      </c>
    </row>
    <row r="437" spans="1:4">
      <c r="A437" t="s">
        <v>566</v>
      </c>
      <c r="B437" t="s">
        <v>807</v>
      </c>
      <c r="C437" s="31" t="s">
        <v>227</v>
      </c>
      <c r="D437" s="103">
        <v>732</v>
      </c>
    </row>
    <row r="438" spans="1:4">
      <c r="A438" t="s">
        <v>566</v>
      </c>
      <c r="B438" t="s">
        <v>808</v>
      </c>
      <c r="C438" s="31" t="s">
        <v>227</v>
      </c>
      <c r="D438" s="103">
        <v>733</v>
      </c>
    </row>
    <row r="439" spans="1:4">
      <c r="A439" t="s">
        <v>566</v>
      </c>
      <c r="B439" t="s">
        <v>809</v>
      </c>
      <c r="C439" s="31" t="s">
        <v>227</v>
      </c>
      <c r="D439" s="103">
        <v>741</v>
      </c>
    </row>
    <row r="440" spans="1:4">
      <c r="A440" t="s">
        <v>566</v>
      </c>
      <c r="B440" t="s">
        <v>810</v>
      </c>
      <c r="C440" s="31" t="s">
        <v>227</v>
      </c>
      <c r="D440" s="103">
        <v>742</v>
      </c>
    </row>
    <row r="441" spans="1:4">
      <c r="A441" t="s">
        <v>566</v>
      </c>
      <c r="B441" t="s">
        <v>811</v>
      </c>
      <c r="C441" s="31" t="s">
        <v>227</v>
      </c>
      <c r="D441" s="103">
        <v>743</v>
      </c>
    </row>
    <row r="442" spans="1:4">
      <c r="A442" t="s">
        <v>566</v>
      </c>
      <c r="B442" t="s">
        <v>812</v>
      </c>
      <c r="C442" s="31" t="s">
        <v>227</v>
      </c>
      <c r="D442" s="103">
        <v>749</v>
      </c>
    </row>
    <row r="443" spans="1:4">
      <c r="A443" t="s">
        <v>566</v>
      </c>
      <c r="B443" t="s">
        <v>813</v>
      </c>
      <c r="C443" s="31" t="s">
        <v>227</v>
      </c>
      <c r="D443" s="103">
        <v>750</v>
      </c>
    </row>
    <row r="444" spans="1:4">
      <c r="A444" t="s">
        <v>566</v>
      </c>
      <c r="B444" t="s">
        <v>814</v>
      </c>
      <c r="C444" s="31" t="s">
        <v>227</v>
      </c>
      <c r="D444" s="103">
        <v>771</v>
      </c>
    </row>
    <row r="445" spans="1:4">
      <c r="A445" t="s">
        <v>566</v>
      </c>
      <c r="B445" t="s">
        <v>815</v>
      </c>
      <c r="C445" s="31" t="s">
        <v>227</v>
      </c>
      <c r="D445" s="103">
        <v>772</v>
      </c>
    </row>
    <row r="446" spans="1:4">
      <c r="A446" t="s">
        <v>566</v>
      </c>
      <c r="B446" t="s">
        <v>816</v>
      </c>
      <c r="C446" s="31" t="s">
        <v>227</v>
      </c>
      <c r="D446" s="103">
        <v>773</v>
      </c>
    </row>
    <row r="447" spans="1:4">
      <c r="A447" t="s">
        <v>566</v>
      </c>
      <c r="B447" t="s">
        <v>817</v>
      </c>
      <c r="C447" s="31" t="s">
        <v>227</v>
      </c>
      <c r="D447" s="103">
        <v>774</v>
      </c>
    </row>
    <row r="448" spans="1:4">
      <c r="A448" t="s">
        <v>566</v>
      </c>
      <c r="B448" t="s">
        <v>818</v>
      </c>
      <c r="C448" s="31" t="s">
        <v>227</v>
      </c>
      <c r="D448" s="103">
        <v>775</v>
      </c>
    </row>
    <row r="449" spans="1:4">
      <c r="A449" t="s">
        <v>566</v>
      </c>
      <c r="B449" t="s">
        <v>819</v>
      </c>
      <c r="C449" s="31" t="s">
        <v>227</v>
      </c>
      <c r="D449" s="103">
        <v>781</v>
      </c>
    </row>
    <row r="450" spans="1:4">
      <c r="A450" t="s">
        <v>566</v>
      </c>
      <c r="B450" t="s">
        <v>820</v>
      </c>
      <c r="C450" s="31" t="s">
        <v>227</v>
      </c>
      <c r="D450" s="103">
        <v>782</v>
      </c>
    </row>
    <row r="451" spans="1:4">
      <c r="A451" t="s">
        <v>566</v>
      </c>
      <c r="B451" t="s">
        <v>821</v>
      </c>
      <c r="C451" s="31" t="s">
        <v>227</v>
      </c>
      <c r="D451" s="103">
        <v>791</v>
      </c>
    </row>
    <row r="452" spans="1:4">
      <c r="A452" t="s">
        <v>566</v>
      </c>
      <c r="B452" t="s">
        <v>822</v>
      </c>
      <c r="C452" s="31" t="s">
        <v>227</v>
      </c>
      <c r="D452" s="103">
        <v>799</v>
      </c>
    </row>
    <row r="453" spans="1:4">
      <c r="A453" t="s">
        <v>566</v>
      </c>
      <c r="B453" t="s">
        <v>823</v>
      </c>
      <c r="C453" s="31" t="s">
        <v>227</v>
      </c>
      <c r="D453" s="103">
        <v>800</v>
      </c>
    </row>
    <row r="454" spans="1:4">
      <c r="A454" t="s">
        <v>566</v>
      </c>
      <c r="B454" t="s">
        <v>824</v>
      </c>
      <c r="C454" s="31" t="s">
        <v>227</v>
      </c>
      <c r="D454" s="103">
        <v>811</v>
      </c>
    </row>
    <row r="455" spans="1:4">
      <c r="A455" t="s">
        <v>566</v>
      </c>
      <c r="B455" t="s">
        <v>825</v>
      </c>
      <c r="C455" s="31" t="s">
        <v>227</v>
      </c>
      <c r="D455" s="103">
        <v>812</v>
      </c>
    </row>
    <row r="456" spans="1:4">
      <c r="A456" t="s">
        <v>566</v>
      </c>
      <c r="B456" t="s">
        <v>826</v>
      </c>
      <c r="C456" s="31" t="s">
        <v>227</v>
      </c>
      <c r="D456" s="103">
        <v>813</v>
      </c>
    </row>
    <row r="457" spans="1:4">
      <c r="A457" t="s">
        <v>566</v>
      </c>
      <c r="B457" t="s">
        <v>827</v>
      </c>
      <c r="C457" s="31" t="s">
        <v>227</v>
      </c>
      <c r="D457" s="103">
        <v>821</v>
      </c>
    </row>
    <row r="458" spans="1:4">
      <c r="A458" t="s">
        <v>566</v>
      </c>
      <c r="B458" t="s">
        <v>828</v>
      </c>
      <c r="C458" s="31" t="s">
        <v>227</v>
      </c>
      <c r="D458" s="103">
        <v>822</v>
      </c>
    </row>
    <row r="459" spans="1:4">
      <c r="A459" t="s">
        <v>566</v>
      </c>
      <c r="B459" t="s">
        <v>829</v>
      </c>
      <c r="C459" s="31" t="s">
        <v>227</v>
      </c>
      <c r="D459" s="103">
        <v>823</v>
      </c>
    </row>
    <row r="460" spans="1:4">
      <c r="A460" t="s">
        <v>566</v>
      </c>
      <c r="B460" t="s">
        <v>830</v>
      </c>
      <c r="C460" s="31" t="s">
        <v>227</v>
      </c>
      <c r="D460" s="103">
        <v>824</v>
      </c>
    </row>
    <row r="461" spans="1:4">
      <c r="A461" t="s">
        <v>566</v>
      </c>
      <c r="B461" t="s">
        <v>831</v>
      </c>
      <c r="C461" s="31" t="s">
        <v>227</v>
      </c>
      <c r="D461" s="103">
        <v>829</v>
      </c>
    </row>
    <row r="462" spans="1:4">
      <c r="A462" t="s">
        <v>566</v>
      </c>
      <c r="B462" t="s">
        <v>832</v>
      </c>
      <c r="C462" s="31" t="s">
        <v>227</v>
      </c>
      <c r="D462" s="103">
        <v>841</v>
      </c>
    </row>
    <row r="463" spans="1:4">
      <c r="A463" t="s">
        <v>566</v>
      </c>
      <c r="B463" t="s">
        <v>833</v>
      </c>
      <c r="C463" s="31" t="s">
        <v>227</v>
      </c>
      <c r="D463" s="103">
        <v>842</v>
      </c>
    </row>
    <row r="464" spans="1:4">
      <c r="A464" t="s">
        <v>566</v>
      </c>
      <c r="B464" t="s">
        <v>834</v>
      </c>
      <c r="C464" s="31" t="s">
        <v>227</v>
      </c>
      <c r="D464" s="103">
        <v>843</v>
      </c>
    </row>
    <row r="465" spans="1:4">
      <c r="A465" t="s">
        <v>566</v>
      </c>
      <c r="B465" t="s">
        <v>835</v>
      </c>
      <c r="C465" s="31" t="s">
        <v>227</v>
      </c>
      <c r="D465" s="103">
        <v>851</v>
      </c>
    </row>
    <row r="466" spans="1:4">
      <c r="A466" t="s">
        <v>566</v>
      </c>
      <c r="B466" t="s">
        <v>836</v>
      </c>
      <c r="C466" s="31" t="s">
        <v>227</v>
      </c>
      <c r="D466" s="103">
        <v>852</v>
      </c>
    </row>
    <row r="467" spans="1:4">
      <c r="A467" t="s">
        <v>566</v>
      </c>
      <c r="B467" t="s">
        <v>837</v>
      </c>
      <c r="C467" s="31" t="s">
        <v>227</v>
      </c>
      <c r="D467" s="103">
        <v>853</v>
      </c>
    </row>
    <row r="468" spans="1:4">
      <c r="A468" t="s">
        <v>566</v>
      </c>
      <c r="B468" t="s">
        <v>838</v>
      </c>
      <c r="C468" s="31" t="s">
        <v>227</v>
      </c>
      <c r="D468" s="103">
        <v>854</v>
      </c>
    </row>
    <row r="469" spans="1:4">
      <c r="A469" t="s">
        <v>566</v>
      </c>
      <c r="B469" t="s">
        <v>839</v>
      </c>
      <c r="C469" s="31" t="s">
        <v>227</v>
      </c>
      <c r="D469" s="103">
        <v>855</v>
      </c>
    </row>
    <row r="470" spans="1:4">
      <c r="A470" t="s">
        <v>566</v>
      </c>
      <c r="B470" t="s">
        <v>840</v>
      </c>
      <c r="C470" s="31" t="s">
        <v>227</v>
      </c>
      <c r="D470" s="103">
        <v>856</v>
      </c>
    </row>
    <row r="471" spans="1:4">
      <c r="A471" t="s">
        <v>566</v>
      </c>
      <c r="B471" t="s">
        <v>841</v>
      </c>
      <c r="C471" s="31" t="s">
        <v>227</v>
      </c>
      <c r="D471" s="103">
        <v>861</v>
      </c>
    </row>
    <row r="472" spans="1:4">
      <c r="A472" t="s">
        <v>566</v>
      </c>
      <c r="B472" t="s">
        <v>842</v>
      </c>
      <c r="C472" s="31" t="s">
        <v>227</v>
      </c>
      <c r="D472" s="103">
        <v>862</v>
      </c>
    </row>
    <row r="473" spans="1:4">
      <c r="A473" t="s">
        <v>566</v>
      </c>
      <c r="B473" t="s">
        <v>843</v>
      </c>
      <c r="C473" s="31" t="s">
        <v>227</v>
      </c>
      <c r="D473" s="103">
        <v>869</v>
      </c>
    </row>
    <row r="474" spans="1:4">
      <c r="A474" t="s">
        <v>566</v>
      </c>
      <c r="B474" t="s">
        <v>844</v>
      </c>
      <c r="C474" s="31" t="s">
        <v>227</v>
      </c>
      <c r="D474" s="103">
        <v>871</v>
      </c>
    </row>
    <row r="475" spans="1:4">
      <c r="A475" t="s">
        <v>566</v>
      </c>
      <c r="B475" t="s">
        <v>845</v>
      </c>
      <c r="C475" s="31" t="s">
        <v>227</v>
      </c>
      <c r="D475" s="103">
        <v>872</v>
      </c>
    </row>
    <row r="476" spans="1:4">
      <c r="A476" t="s">
        <v>566</v>
      </c>
      <c r="B476" t="s">
        <v>846</v>
      </c>
      <c r="C476" s="31" t="s">
        <v>227</v>
      </c>
      <c r="D476" s="103">
        <v>873</v>
      </c>
    </row>
    <row r="477" spans="1:4">
      <c r="A477" t="s">
        <v>566</v>
      </c>
      <c r="B477" t="s">
        <v>847</v>
      </c>
      <c r="C477" s="31" t="s">
        <v>227</v>
      </c>
      <c r="D477" s="103">
        <v>879</v>
      </c>
    </row>
    <row r="478" spans="1:4">
      <c r="A478" t="s">
        <v>566</v>
      </c>
      <c r="B478" t="s">
        <v>848</v>
      </c>
      <c r="C478" s="31" t="s">
        <v>227</v>
      </c>
      <c r="D478" s="103">
        <v>881</v>
      </c>
    </row>
    <row r="479" spans="1:4">
      <c r="A479" t="s">
        <v>566</v>
      </c>
      <c r="B479" t="s">
        <v>849</v>
      </c>
      <c r="C479" s="31" t="s">
        <v>227</v>
      </c>
      <c r="D479" s="103">
        <v>889</v>
      </c>
    </row>
    <row r="480" spans="1:4">
      <c r="A480" t="s">
        <v>566</v>
      </c>
      <c r="B480" t="s">
        <v>850</v>
      </c>
      <c r="C480" s="31" t="s">
        <v>227</v>
      </c>
      <c r="D480" s="103">
        <v>901</v>
      </c>
    </row>
    <row r="481" spans="1:4">
      <c r="A481" t="s">
        <v>566</v>
      </c>
      <c r="B481" t="s">
        <v>851</v>
      </c>
      <c r="C481" s="31" t="s">
        <v>227</v>
      </c>
      <c r="D481" s="103">
        <v>902</v>
      </c>
    </row>
    <row r="482" spans="1:4">
      <c r="A482" t="s">
        <v>566</v>
      </c>
      <c r="B482" t="s">
        <v>852</v>
      </c>
      <c r="C482" s="31" t="s">
        <v>227</v>
      </c>
      <c r="D482" s="103">
        <v>903</v>
      </c>
    </row>
    <row r="483" spans="1:4">
      <c r="A483" t="s">
        <v>566</v>
      </c>
      <c r="B483" t="s">
        <v>853</v>
      </c>
      <c r="C483" s="31" t="s">
        <v>227</v>
      </c>
      <c r="D483" s="103">
        <v>911</v>
      </c>
    </row>
    <row r="484" spans="1:4">
      <c r="A484" t="s">
        <v>566</v>
      </c>
      <c r="B484" t="s">
        <v>854</v>
      </c>
      <c r="C484" s="31" t="s">
        <v>227</v>
      </c>
      <c r="D484" s="103">
        <v>912</v>
      </c>
    </row>
    <row r="485" spans="1:4">
      <c r="A485" t="s">
        <v>566</v>
      </c>
      <c r="B485" t="s">
        <v>855</v>
      </c>
      <c r="C485" s="31" t="s">
        <v>227</v>
      </c>
      <c r="D485" s="103">
        <v>913</v>
      </c>
    </row>
    <row r="486" spans="1:4">
      <c r="A486" t="s">
        <v>566</v>
      </c>
      <c r="B486" t="s">
        <v>856</v>
      </c>
      <c r="C486" s="31" t="s">
        <v>227</v>
      </c>
      <c r="D486" s="103">
        <v>914</v>
      </c>
    </row>
    <row r="487" spans="1:4">
      <c r="A487" t="s">
        <v>566</v>
      </c>
      <c r="B487" t="s">
        <v>857</v>
      </c>
      <c r="C487" s="31" t="s">
        <v>227</v>
      </c>
      <c r="D487" s="103">
        <v>920</v>
      </c>
    </row>
    <row r="488" spans="1:4">
      <c r="A488" t="s">
        <v>566</v>
      </c>
      <c r="B488" t="s">
        <v>858</v>
      </c>
      <c r="C488" s="31" t="s">
        <v>227</v>
      </c>
      <c r="D488" s="103">
        <v>931</v>
      </c>
    </row>
    <row r="489" spans="1:4">
      <c r="A489" t="s">
        <v>566</v>
      </c>
      <c r="B489" t="s">
        <v>859</v>
      </c>
      <c r="C489" s="31" t="s">
        <v>227</v>
      </c>
      <c r="D489" s="103">
        <v>932</v>
      </c>
    </row>
    <row r="490" spans="1:4">
      <c r="A490" t="s">
        <v>566</v>
      </c>
      <c r="B490" t="s">
        <v>860</v>
      </c>
      <c r="C490" s="31" t="s">
        <v>227</v>
      </c>
      <c r="D490" s="103">
        <v>941</v>
      </c>
    </row>
    <row r="491" spans="1:4">
      <c r="A491" t="s">
        <v>566</v>
      </c>
      <c r="B491" t="s">
        <v>861</v>
      </c>
      <c r="C491" s="31" t="s">
        <v>227</v>
      </c>
      <c r="D491" s="103">
        <v>942</v>
      </c>
    </row>
    <row r="492" spans="1:4">
      <c r="A492" t="s">
        <v>566</v>
      </c>
      <c r="B492" t="s">
        <v>862</v>
      </c>
      <c r="C492" s="31" t="s">
        <v>227</v>
      </c>
      <c r="D492" s="103">
        <v>949</v>
      </c>
    </row>
    <row r="493" spans="1:4">
      <c r="A493" t="s">
        <v>566</v>
      </c>
      <c r="B493" t="s">
        <v>863</v>
      </c>
      <c r="C493" s="31" t="s">
        <v>227</v>
      </c>
      <c r="D493" s="103">
        <v>951</v>
      </c>
    </row>
    <row r="494" spans="1:4">
      <c r="A494" t="s">
        <v>566</v>
      </c>
      <c r="B494" t="s">
        <v>864</v>
      </c>
      <c r="C494" s="31" t="s">
        <v>227</v>
      </c>
      <c r="D494" s="103">
        <v>952</v>
      </c>
    </row>
    <row r="495" spans="1:4">
      <c r="A495" t="s">
        <v>566</v>
      </c>
      <c r="B495" t="s">
        <v>865</v>
      </c>
      <c r="C495" s="31" t="s">
        <v>227</v>
      </c>
      <c r="D495" s="103">
        <v>953</v>
      </c>
    </row>
    <row r="496" spans="1:4">
      <c r="A496" t="s">
        <v>566</v>
      </c>
      <c r="B496" t="s">
        <v>866</v>
      </c>
      <c r="C496" s="31" t="s">
        <v>227</v>
      </c>
      <c r="D496" s="103">
        <v>954</v>
      </c>
    </row>
    <row r="497" spans="1:4">
      <c r="A497" t="s">
        <v>566</v>
      </c>
      <c r="B497" t="s">
        <v>867</v>
      </c>
      <c r="C497" s="31" t="s">
        <v>227</v>
      </c>
      <c r="D497" s="103">
        <v>961</v>
      </c>
    </row>
    <row r="498" spans="1:4">
      <c r="A498" t="s">
        <v>566</v>
      </c>
      <c r="B498" t="s">
        <v>868</v>
      </c>
      <c r="C498" s="31" t="s">
        <v>227</v>
      </c>
      <c r="D498" s="103">
        <v>962</v>
      </c>
    </row>
    <row r="499" spans="1:4">
      <c r="A499" t="s">
        <v>566</v>
      </c>
      <c r="B499" t="s">
        <v>869</v>
      </c>
      <c r="C499" s="31" t="s">
        <v>227</v>
      </c>
      <c r="D499" s="103">
        <v>963</v>
      </c>
    </row>
    <row r="500" spans="1:4">
      <c r="A500" t="s">
        <v>566</v>
      </c>
      <c r="B500" t="s">
        <v>870</v>
      </c>
      <c r="C500" s="31" t="s">
        <v>227</v>
      </c>
      <c r="D500" s="103">
        <v>964</v>
      </c>
    </row>
    <row r="501" spans="1:4">
      <c r="A501" t="s">
        <v>566</v>
      </c>
      <c r="B501" t="s">
        <v>871</v>
      </c>
      <c r="C501" s="31" t="s">
        <v>227</v>
      </c>
      <c r="D501" s="103">
        <v>969</v>
      </c>
    </row>
    <row r="502" spans="1:4">
      <c r="A502" t="s">
        <v>566</v>
      </c>
      <c r="B502" t="s">
        <v>872</v>
      </c>
      <c r="C502" s="31" t="s">
        <v>227</v>
      </c>
      <c r="D502" s="103">
        <v>970</v>
      </c>
    </row>
    <row r="503" spans="1:4">
      <c r="A503" t="s">
        <v>566</v>
      </c>
      <c r="B503" t="s">
        <v>873</v>
      </c>
      <c r="C503" s="31" t="s">
        <v>227</v>
      </c>
      <c r="D503" s="103">
        <v>981</v>
      </c>
    </row>
    <row r="504" spans="1:4">
      <c r="A504" t="s">
        <v>566</v>
      </c>
      <c r="B504" t="s">
        <v>874</v>
      </c>
      <c r="C504" s="31" t="s">
        <v>227</v>
      </c>
      <c r="D504" s="103">
        <v>982</v>
      </c>
    </row>
    <row r="505" spans="1:4">
      <c r="A505" t="s">
        <v>566</v>
      </c>
      <c r="B505" t="s">
        <v>875</v>
      </c>
      <c r="C505" s="31" t="s">
        <v>227</v>
      </c>
      <c r="D505" s="103">
        <v>990</v>
      </c>
    </row>
    <row r="506" spans="1:4" ht="16.5">
      <c r="A506" t="s">
        <v>876</v>
      </c>
      <c r="B506" s="97" t="s">
        <v>877</v>
      </c>
      <c r="C506" s="98" t="s">
        <v>105</v>
      </c>
      <c r="D506" s="103" t="s">
        <v>362</v>
      </c>
    </row>
    <row r="507" spans="1:4" ht="16.5">
      <c r="A507" t="s">
        <v>876</v>
      </c>
      <c r="B507" s="97" t="s">
        <v>878</v>
      </c>
      <c r="C507" s="98" t="s">
        <v>105</v>
      </c>
      <c r="D507" s="103" t="s">
        <v>362</v>
      </c>
    </row>
    <row r="508" spans="1:4" ht="16.5">
      <c r="A508" t="s">
        <v>876</v>
      </c>
      <c r="B508" s="97" t="s">
        <v>104</v>
      </c>
      <c r="C508" s="98" t="s">
        <v>105</v>
      </c>
      <c r="D508" s="103" t="s">
        <v>362</v>
      </c>
    </row>
    <row r="509" spans="1:4" ht="16.5">
      <c r="A509" t="s">
        <v>876</v>
      </c>
      <c r="B509" s="97" t="s">
        <v>879</v>
      </c>
      <c r="C509" s="98" t="s">
        <v>105</v>
      </c>
      <c r="D509" s="103" t="s">
        <v>362</v>
      </c>
    </row>
    <row r="510" spans="1:4" ht="16.5">
      <c r="A510" t="s">
        <v>876</v>
      </c>
      <c r="B510" s="97" t="s">
        <v>880</v>
      </c>
      <c r="C510" s="98" t="s">
        <v>105</v>
      </c>
      <c r="D510" s="103" t="s">
        <v>362</v>
      </c>
    </row>
    <row r="511" spans="1:4" ht="16.5">
      <c r="A511" t="s">
        <v>876</v>
      </c>
      <c r="B511" s="97" t="s">
        <v>881</v>
      </c>
      <c r="C511" s="98" t="s">
        <v>105</v>
      </c>
      <c r="D511" s="103" t="s">
        <v>362</v>
      </c>
    </row>
    <row r="512" spans="1:4" ht="16.5">
      <c r="A512" t="s">
        <v>876</v>
      </c>
      <c r="B512" s="97" t="s">
        <v>882</v>
      </c>
      <c r="C512" s="98" t="s">
        <v>105</v>
      </c>
      <c r="D512" s="103" t="s">
        <v>362</v>
      </c>
    </row>
    <row r="513" spans="1:4" ht="16.5">
      <c r="A513" t="s">
        <v>876</v>
      </c>
      <c r="B513" s="97" t="s">
        <v>883</v>
      </c>
      <c r="C513" s="98" t="s">
        <v>105</v>
      </c>
      <c r="D513" s="103" t="s">
        <v>362</v>
      </c>
    </row>
    <row r="514" spans="1:4" ht="16.5">
      <c r="A514" t="s">
        <v>876</v>
      </c>
      <c r="B514" s="97" t="s">
        <v>884</v>
      </c>
      <c r="C514" s="98" t="s">
        <v>105</v>
      </c>
      <c r="D514" s="103" t="s">
        <v>362</v>
      </c>
    </row>
    <row r="515" spans="1:4" ht="16.5">
      <c r="A515" t="s">
        <v>876</v>
      </c>
      <c r="B515" s="97" t="s">
        <v>885</v>
      </c>
      <c r="C515" s="98" t="s">
        <v>105</v>
      </c>
      <c r="D515" s="103" t="s">
        <v>362</v>
      </c>
    </row>
    <row r="516" spans="1:4" ht="16.5">
      <c r="A516" t="s">
        <v>876</v>
      </c>
      <c r="B516" s="97" t="s">
        <v>886</v>
      </c>
      <c r="C516" s="98" t="s">
        <v>105</v>
      </c>
      <c r="D516" s="103" t="s">
        <v>362</v>
      </c>
    </row>
    <row r="517" spans="1:4" ht="16.5">
      <c r="A517" t="s">
        <v>876</v>
      </c>
      <c r="B517" s="97" t="s">
        <v>887</v>
      </c>
      <c r="C517" s="98" t="s">
        <v>105</v>
      </c>
      <c r="D517" s="103" t="s">
        <v>362</v>
      </c>
    </row>
    <row r="518" spans="1:4" ht="16.5">
      <c r="A518" t="s">
        <v>876</v>
      </c>
      <c r="B518" s="97" t="s">
        <v>888</v>
      </c>
      <c r="C518" s="98" t="s">
        <v>105</v>
      </c>
      <c r="D518" s="103" t="s">
        <v>362</v>
      </c>
    </row>
    <row r="519" spans="1:4" ht="16.5">
      <c r="A519" t="s">
        <v>876</v>
      </c>
      <c r="B519" s="97" t="s">
        <v>889</v>
      </c>
      <c r="C519" s="98" t="s">
        <v>105</v>
      </c>
      <c r="D519" s="103" t="s">
        <v>362</v>
      </c>
    </row>
    <row r="520" spans="1:4" ht="16.5">
      <c r="A520" t="s">
        <v>876</v>
      </c>
      <c r="B520" s="97" t="s">
        <v>890</v>
      </c>
      <c r="C520" s="98" t="s">
        <v>105</v>
      </c>
      <c r="D520" s="103" t="s">
        <v>362</v>
      </c>
    </row>
    <row r="521" spans="1:4" ht="16.5">
      <c r="A521" t="s">
        <v>876</v>
      </c>
      <c r="B521" s="97" t="s">
        <v>891</v>
      </c>
      <c r="C521" s="98" t="s">
        <v>105</v>
      </c>
      <c r="D521" s="103" t="s">
        <v>362</v>
      </c>
    </row>
    <row r="522" spans="1:4" ht="16.5">
      <c r="A522" t="s">
        <v>876</v>
      </c>
      <c r="B522" s="97" t="s">
        <v>892</v>
      </c>
      <c r="C522" s="98" t="s">
        <v>105</v>
      </c>
      <c r="D522" s="103" t="s">
        <v>362</v>
      </c>
    </row>
    <row r="523" spans="1:4" ht="16.5">
      <c r="A523" t="s">
        <v>876</v>
      </c>
      <c r="B523" s="97" t="s">
        <v>893</v>
      </c>
      <c r="C523" s="98" t="s">
        <v>105</v>
      </c>
      <c r="D523" s="103" t="s">
        <v>362</v>
      </c>
    </row>
    <row r="524" spans="1:4" ht="16.5">
      <c r="A524" t="s">
        <v>876</v>
      </c>
      <c r="B524" s="97" t="s">
        <v>894</v>
      </c>
      <c r="C524" s="98" t="s">
        <v>105</v>
      </c>
      <c r="D524" s="103" t="s">
        <v>362</v>
      </c>
    </row>
    <row r="525" spans="1:4" ht="16.5">
      <c r="A525" t="s">
        <v>876</v>
      </c>
      <c r="B525" s="97" t="s">
        <v>895</v>
      </c>
      <c r="C525" s="98" t="s">
        <v>105</v>
      </c>
      <c r="D525" s="103" t="s">
        <v>362</v>
      </c>
    </row>
    <row r="526" spans="1:4" ht="16.5">
      <c r="A526" t="s">
        <v>876</v>
      </c>
      <c r="B526" s="97" t="s">
        <v>896</v>
      </c>
      <c r="C526" s="98" t="s">
        <v>105</v>
      </c>
      <c r="D526" s="103" t="s">
        <v>362</v>
      </c>
    </row>
    <row r="527" spans="1:4" ht="16.5">
      <c r="A527" t="s">
        <v>876</v>
      </c>
      <c r="B527" s="97" t="s">
        <v>897</v>
      </c>
      <c r="C527" s="98" t="s">
        <v>105</v>
      </c>
      <c r="D527" s="103" t="s">
        <v>362</v>
      </c>
    </row>
    <row r="528" spans="1:4" ht="16.5">
      <c r="A528" t="s">
        <v>876</v>
      </c>
      <c r="B528" s="97" t="s">
        <v>898</v>
      </c>
      <c r="C528" s="98" t="s">
        <v>105</v>
      </c>
      <c r="D528" s="103" t="s">
        <v>362</v>
      </c>
    </row>
    <row r="529" spans="1:4" ht="16.5">
      <c r="A529" t="s">
        <v>876</v>
      </c>
      <c r="B529" s="97" t="s">
        <v>899</v>
      </c>
      <c r="C529" s="98" t="s">
        <v>105</v>
      </c>
      <c r="D529" s="103" t="s">
        <v>362</v>
      </c>
    </row>
    <row r="530" spans="1:4" ht="16.5">
      <c r="A530" t="s">
        <v>876</v>
      </c>
      <c r="B530" s="97" t="s">
        <v>900</v>
      </c>
      <c r="C530" s="98" t="s">
        <v>105</v>
      </c>
      <c r="D530" s="103" t="s">
        <v>362</v>
      </c>
    </row>
    <row r="531" spans="1:4" ht="16.5">
      <c r="A531" t="s">
        <v>876</v>
      </c>
      <c r="B531" s="97" t="s">
        <v>901</v>
      </c>
      <c r="C531" s="98" t="s">
        <v>105</v>
      </c>
      <c r="D531" s="103" t="s">
        <v>362</v>
      </c>
    </row>
    <row r="532" spans="1:4" ht="16.5">
      <c r="A532" t="s">
        <v>876</v>
      </c>
      <c r="B532" s="97" t="s">
        <v>902</v>
      </c>
      <c r="C532" s="98" t="s">
        <v>105</v>
      </c>
      <c r="D532" s="103" t="s">
        <v>362</v>
      </c>
    </row>
    <row r="533" spans="1:4" ht="16.5">
      <c r="A533" t="s">
        <v>876</v>
      </c>
      <c r="B533" s="97" t="s">
        <v>903</v>
      </c>
      <c r="C533" s="98" t="s">
        <v>105</v>
      </c>
      <c r="D533" s="103" t="s">
        <v>362</v>
      </c>
    </row>
    <row r="534" spans="1:4" ht="16.5">
      <c r="A534" t="s">
        <v>876</v>
      </c>
      <c r="B534" s="97" t="s">
        <v>904</v>
      </c>
      <c r="C534" s="98" t="s">
        <v>105</v>
      </c>
      <c r="D534" s="103" t="s">
        <v>362</v>
      </c>
    </row>
    <row r="535" spans="1:4" ht="16.5">
      <c r="A535" t="s">
        <v>876</v>
      </c>
      <c r="B535" s="97" t="s">
        <v>905</v>
      </c>
      <c r="C535" s="98" t="s">
        <v>105</v>
      </c>
      <c r="D535" s="103" t="s">
        <v>362</v>
      </c>
    </row>
    <row r="536" spans="1:4">
      <c r="A536" t="s">
        <v>906</v>
      </c>
      <c r="B536" t="s">
        <v>991</v>
      </c>
      <c r="C536" s="98" t="s">
        <v>210</v>
      </c>
      <c r="D536" t="s">
        <v>209</v>
      </c>
    </row>
    <row r="537" spans="1:4">
      <c r="A537" t="s">
        <v>906</v>
      </c>
      <c r="B537" t="s">
        <v>992</v>
      </c>
      <c r="C537" s="98" t="s">
        <v>210</v>
      </c>
      <c r="D537" t="s">
        <v>993</v>
      </c>
    </row>
    <row r="538" spans="1:4">
      <c r="A538" t="s">
        <v>906</v>
      </c>
      <c r="B538" t="s">
        <v>994</v>
      </c>
      <c r="C538" s="98" t="s">
        <v>210</v>
      </c>
      <c r="D538" t="s">
        <v>995</v>
      </c>
    </row>
    <row r="539" spans="1:4">
      <c r="A539" t="s">
        <v>906</v>
      </c>
      <c r="B539" t="s">
        <v>996</v>
      </c>
      <c r="C539" s="98" t="s">
        <v>210</v>
      </c>
      <c r="D539" t="s">
        <v>997</v>
      </c>
    </row>
    <row r="540" spans="1:4">
      <c r="A540" t="s">
        <v>906</v>
      </c>
      <c r="B540" t="s">
        <v>998</v>
      </c>
      <c r="C540" s="98" t="s">
        <v>210</v>
      </c>
      <c r="D540" t="s">
        <v>999</v>
      </c>
    </row>
    <row r="541" spans="1:4">
      <c r="A541" t="s">
        <v>906</v>
      </c>
      <c r="B541" t="s">
        <v>1000</v>
      </c>
      <c r="C541" s="98" t="s">
        <v>210</v>
      </c>
      <c r="D541" t="s">
        <v>1001</v>
      </c>
    </row>
    <row r="542" spans="1:4">
      <c r="A542" t="s">
        <v>906</v>
      </c>
      <c r="B542" t="s">
        <v>1002</v>
      </c>
      <c r="C542" s="98" t="s">
        <v>210</v>
      </c>
      <c r="D542" t="s">
        <v>1003</v>
      </c>
    </row>
    <row r="543" spans="1:4">
      <c r="A543" t="s">
        <v>906</v>
      </c>
      <c r="B543" t="s">
        <v>1004</v>
      </c>
      <c r="C543" s="98" t="s">
        <v>210</v>
      </c>
      <c r="D543" t="s">
        <v>1005</v>
      </c>
    </row>
    <row r="544" spans="1:4">
      <c r="A544" t="s">
        <v>906</v>
      </c>
      <c r="B544" t="s">
        <v>1006</v>
      </c>
      <c r="C544" s="98" t="s">
        <v>210</v>
      </c>
      <c r="D544" t="s">
        <v>1007</v>
      </c>
    </row>
    <row r="545" spans="1:4">
      <c r="A545" t="s">
        <v>906</v>
      </c>
      <c r="B545" t="s">
        <v>1008</v>
      </c>
      <c r="C545" s="98" t="s">
        <v>210</v>
      </c>
      <c r="D545" t="s">
        <v>1009</v>
      </c>
    </row>
    <row r="546" spans="1:4">
      <c r="A546" t="s">
        <v>906</v>
      </c>
      <c r="B546" t="s">
        <v>1010</v>
      </c>
      <c r="C546" s="98" t="s">
        <v>210</v>
      </c>
      <c r="D546" t="s">
        <v>1011</v>
      </c>
    </row>
    <row r="547" spans="1:4">
      <c r="A547" t="s">
        <v>929</v>
      </c>
      <c r="B547" t="s">
        <v>1012</v>
      </c>
      <c r="C547" t="s">
        <v>173</v>
      </c>
      <c r="D547" s="30" t="s">
        <v>172</v>
      </c>
    </row>
    <row r="548" spans="1:4">
      <c r="A548" t="s">
        <v>929</v>
      </c>
      <c r="B548" t="s">
        <v>1013</v>
      </c>
      <c r="C548" t="s">
        <v>173</v>
      </c>
      <c r="D548" s="30" t="s">
        <v>1014</v>
      </c>
    </row>
    <row r="549" spans="1:4">
      <c r="A549" t="s">
        <v>929</v>
      </c>
      <c r="B549" t="s">
        <v>1015</v>
      </c>
      <c r="C549" t="s">
        <v>173</v>
      </c>
      <c r="D549" s="30" t="s">
        <v>104</v>
      </c>
    </row>
    <row r="550" spans="1:4">
      <c r="A550" t="s">
        <v>929</v>
      </c>
      <c r="B550" t="s">
        <v>1016</v>
      </c>
      <c r="C550" t="s">
        <v>173</v>
      </c>
      <c r="D550" s="30" t="s">
        <v>920</v>
      </c>
    </row>
    <row r="551" spans="1:4">
      <c r="A551" t="s">
        <v>929</v>
      </c>
      <c r="B551" t="s">
        <v>1017</v>
      </c>
      <c r="C551" t="s">
        <v>173</v>
      </c>
      <c r="D551" s="30" t="s">
        <v>1018</v>
      </c>
    </row>
    <row r="552" spans="1:4">
      <c r="A552" t="s">
        <v>929</v>
      </c>
      <c r="B552" t="s">
        <v>1019</v>
      </c>
      <c r="C552" t="s">
        <v>173</v>
      </c>
      <c r="D552" s="30" t="s">
        <v>1020</v>
      </c>
    </row>
    <row r="553" spans="1:4">
      <c r="A553" t="s">
        <v>929</v>
      </c>
      <c r="B553" t="s">
        <v>1021</v>
      </c>
      <c r="C553" t="s">
        <v>173</v>
      </c>
      <c r="D553" s="30" t="s">
        <v>1022</v>
      </c>
    </row>
    <row r="554" spans="1:4">
      <c r="A554" t="s">
        <v>929</v>
      </c>
      <c r="B554" t="s">
        <v>1023</v>
      </c>
      <c r="C554" t="s">
        <v>173</v>
      </c>
      <c r="D554" s="30" t="s">
        <v>1024</v>
      </c>
    </row>
    <row r="555" spans="1:4">
      <c r="A555" t="s">
        <v>929</v>
      </c>
      <c r="B555" t="s">
        <v>1025</v>
      </c>
      <c r="C555" t="s">
        <v>173</v>
      </c>
      <c r="D555" s="30" t="s">
        <v>1026</v>
      </c>
    </row>
    <row r="556" spans="1:4">
      <c r="A556" t="s">
        <v>929</v>
      </c>
      <c r="B556" t="s">
        <v>1027</v>
      </c>
      <c r="C556" t="s">
        <v>173</v>
      </c>
      <c r="D556" s="30" t="s">
        <v>1028</v>
      </c>
    </row>
    <row r="557" spans="1:4">
      <c r="A557" t="s">
        <v>929</v>
      </c>
      <c r="B557" t="s">
        <v>1029</v>
      </c>
      <c r="C557" t="s">
        <v>173</v>
      </c>
      <c r="D557" s="30" t="s">
        <v>1030</v>
      </c>
    </row>
    <row r="558" spans="1:4">
      <c r="A558" t="s">
        <v>929</v>
      </c>
      <c r="B558" t="s">
        <v>1031</v>
      </c>
      <c r="C558" t="s">
        <v>173</v>
      </c>
      <c r="D558" s="30" t="s">
        <v>1032</v>
      </c>
    </row>
    <row r="559" spans="1:4">
      <c r="A559" t="s">
        <v>929</v>
      </c>
      <c r="B559" t="s">
        <v>1033</v>
      </c>
      <c r="C559" t="s">
        <v>173</v>
      </c>
      <c r="D559" s="30" t="s">
        <v>1034</v>
      </c>
    </row>
    <row r="560" spans="1:4">
      <c r="A560" t="s">
        <v>929</v>
      </c>
      <c r="B560" t="s">
        <v>1035</v>
      </c>
      <c r="C560" t="s">
        <v>173</v>
      </c>
      <c r="D560" s="30" t="s">
        <v>1036</v>
      </c>
    </row>
    <row r="561" spans="1:4">
      <c r="A561" t="s">
        <v>929</v>
      </c>
      <c r="B561" t="s">
        <v>1037</v>
      </c>
      <c r="C561" t="s">
        <v>173</v>
      </c>
      <c r="D561" s="30" t="s">
        <v>1038</v>
      </c>
    </row>
    <row r="562" spans="1:4">
      <c r="A562" t="s">
        <v>929</v>
      </c>
      <c r="B562" t="s">
        <v>1039</v>
      </c>
      <c r="C562" t="s">
        <v>173</v>
      </c>
      <c r="D562" s="30" t="s">
        <v>1040</v>
      </c>
    </row>
    <row r="563" spans="1:4">
      <c r="A563" t="s">
        <v>929</v>
      </c>
      <c r="B563" t="s">
        <v>1041</v>
      </c>
      <c r="C563" t="s">
        <v>173</v>
      </c>
      <c r="D563" s="30" t="s">
        <v>1042</v>
      </c>
    </row>
    <row r="564" spans="1:4">
      <c r="A564" t="s">
        <v>929</v>
      </c>
      <c r="B564" t="s">
        <v>1043</v>
      </c>
      <c r="C564" t="s">
        <v>173</v>
      </c>
      <c r="D564" s="30" t="s">
        <v>1044</v>
      </c>
    </row>
    <row r="565" spans="1:4">
      <c r="A565" t="s">
        <v>929</v>
      </c>
      <c r="B565" t="s">
        <v>1045</v>
      </c>
      <c r="C565" t="s">
        <v>173</v>
      </c>
      <c r="D565" s="30" t="s">
        <v>1046</v>
      </c>
    </row>
    <row r="566" spans="1:4">
      <c r="A566" t="s">
        <v>929</v>
      </c>
      <c r="B566" t="s">
        <v>1047</v>
      </c>
      <c r="C566" t="s">
        <v>173</v>
      </c>
      <c r="D566" s="30" t="s">
        <v>1048</v>
      </c>
    </row>
    <row r="567" spans="1:4">
      <c r="A567" t="s">
        <v>929</v>
      </c>
      <c r="B567" t="s">
        <v>1049</v>
      </c>
      <c r="C567" t="s">
        <v>173</v>
      </c>
      <c r="D567" s="30" t="s">
        <v>1050</v>
      </c>
    </row>
    <row r="568" spans="1:4">
      <c r="A568" t="s">
        <v>929</v>
      </c>
      <c r="B568" t="s">
        <v>1051</v>
      </c>
      <c r="C568" t="s">
        <v>173</v>
      </c>
      <c r="D568" s="30" t="s">
        <v>1052</v>
      </c>
    </row>
    <row r="569" spans="1:4">
      <c r="A569" t="s">
        <v>929</v>
      </c>
      <c r="B569" t="s">
        <v>1053</v>
      </c>
      <c r="C569" t="s">
        <v>173</v>
      </c>
      <c r="D569" s="30" t="s">
        <v>1054</v>
      </c>
    </row>
    <row r="570" spans="1:4">
      <c r="A570" t="s">
        <v>929</v>
      </c>
      <c r="B570" t="s">
        <v>1055</v>
      </c>
      <c r="C570" t="s">
        <v>173</v>
      </c>
      <c r="D570" s="30" t="s">
        <v>1056</v>
      </c>
    </row>
    <row r="571" spans="1:4">
      <c r="A571" t="s">
        <v>929</v>
      </c>
      <c r="B571" t="s">
        <v>1057</v>
      </c>
      <c r="C571" t="s">
        <v>173</v>
      </c>
      <c r="D571" s="30" t="s">
        <v>1058</v>
      </c>
    </row>
    <row r="572" spans="1:4">
      <c r="A572" t="s">
        <v>929</v>
      </c>
      <c r="B572" t="s">
        <v>1059</v>
      </c>
      <c r="C572" t="s">
        <v>173</v>
      </c>
      <c r="D572" s="30" t="s">
        <v>1060</v>
      </c>
    </row>
    <row r="573" spans="1:4">
      <c r="A573" t="s">
        <v>929</v>
      </c>
      <c r="B573" t="s">
        <v>1061</v>
      </c>
      <c r="C573" t="s">
        <v>173</v>
      </c>
      <c r="D573" s="30" t="s">
        <v>1062</v>
      </c>
    </row>
    <row r="574" spans="1:4">
      <c r="A574" t="s">
        <v>929</v>
      </c>
      <c r="B574" t="s">
        <v>1063</v>
      </c>
      <c r="C574" t="s">
        <v>173</v>
      </c>
      <c r="D574" s="30" t="s">
        <v>1064</v>
      </c>
    </row>
    <row r="575" spans="1:4">
      <c r="A575" t="s">
        <v>929</v>
      </c>
      <c r="B575" t="s">
        <v>1065</v>
      </c>
      <c r="C575" t="s">
        <v>173</v>
      </c>
      <c r="D575" s="30" t="s">
        <v>1066</v>
      </c>
    </row>
    <row r="576" spans="1:4">
      <c r="A576" t="s">
        <v>929</v>
      </c>
      <c r="B576" t="s">
        <v>1067</v>
      </c>
      <c r="C576" t="s">
        <v>173</v>
      </c>
      <c r="D576" s="30" t="s">
        <v>1068</v>
      </c>
    </row>
    <row r="577" spans="1:4">
      <c r="A577" t="s">
        <v>929</v>
      </c>
      <c r="B577" t="s">
        <v>1069</v>
      </c>
      <c r="C577" t="s">
        <v>173</v>
      </c>
      <c r="D577" s="30" t="s">
        <v>1070</v>
      </c>
    </row>
    <row r="578" spans="1:4">
      <c r="A578" t="s">
        <v>929</v>
      </c>
      <c r="B578" t="s">
        <v>1071</v>
      </c>
      <c r="C578" t="s">
        <v>173</v>
      </c>
      <c r="D578" s="30" t="s">
        <v>1072</v>
      </c>
    </row>
    <row r="579" spans="1:4">
      <c r="A579" t="s">
        <v>929</v>
      </c>
      <c r="B579" t="s">
        <v>1073</v>
      </c>
      <c r="C579" t="s">
        <v>173</v>
      </c>
      <c r="D579" s="30" t="s">
        <v>1074</v>
      </c>
    </row>
    <row r="580" spans="1:4">
      <c r="A580" t="s">
        <v>929</v>
      </c>
      <c r="B580" t="s">
        <v>1075</v>
      </c>
      <c r="C580" t="s">
        <v>173</v>
      </c>
      <c r="D580" s="30" t="s">
        <v>1076</v>
      </c>
    </row>
    <row r="581" spans="1:4">
      <c r="A581" t="s">
        <v>929</v>
      </c>
      <c r="B581" t="s">
        <v>1077</v>
      </c>
      <c r="C581" t="s">
        <v>173</v>
      </c>
      <c r="D581" s="30" t="s">
        <v>1078</v>
      </c>
    </row>
    <row r="582" spans="1:4">
      <c r="A582" t="s">
        <v>929</v>
      </c>
      <c r="B582" t="s">
        <v>1079</v>
      </c>
      <c r="C582" t="s">
        <v>173</v>
      </c>
      <c r="D582" s="30" t="s">
        <v>1080</v>
      </c>
    </row>
    <row r="583" spans="1:4">
      <c r="A583" t="s">
        <v>929</v>
      </c>
      <c r="B583" t="s">
        <v>1081</v>
      </c>
      <c r="C583" t="s">
        <v>173</v>
      </c>
      <c r="D583" s="30" t="s">
        <v>1082</v>
      </c>
    </row>
    <row r="584" spans="1:4">
      <c r="A584" t="s">
        <v>929</v>
      </c>
      <c r="B584" t="s">
        <v>1083</v>
      </c>
      <c r="C584" t="s">
        <v>173</v>
      </c>
      <c r="D584" s="30" t="s">
        <v>1084</v>
      </c>
    </row>
    <row r="585" spans="1:4">
      <c r="A585" t="s">
        <v>929</v>
      </c>
      <c r="B585" t="s">
        <v>1085</v>
      </c>
      <c r="C585" t="s">
        <v>173</v>
      </c>
      <c r="D585" s="30" t="s">
        <v>1086</v>
      </c>
    </row>
    <row r="586" spans="1:4">
      <c r="A586" t="s">
        <v>929</v>
      </c>
      <c r="B586" t="s">
        <v>1087</v>
      </c>
      <c r="C586" t="s">
        <v>173</v>
      </c>
      <c r="D586" s="30" t="s">
        <v>1088</v>
      </c>
    </row>
    <row r="587" spans="1:4">
      <c r="A587" t="s">
        <v>929</v>
      </c>
      <c r="B587" t="s">
        <v>1089</v>
      </c>
      <c r="C587" t="s">
        <v>173</v>
      </c>
      <c r="D587" s="30" t="s">
        <v>1090</v>
      </c>
    </row>
    <row r="588" spans="1:4">
      <c r="A588" t="s">
        <v>929</v>
      </c>
      <c r="B588" t="s">
        <v>1091</v>
      </c>
      <c r="C588" t="s">
        <v>173</v>
      </c>
      <c r="D588" s="30" t="s">
        <v>1092</v>
      </c>
    </row>
    <row r="589" spans="1:4">
      <c r="A589" t="s">
        <v>929</v>
      </c>
      <c r="B589" t="s">
        <v>1093</v>
      </c>
      <c r="C589" t="s">
        <v>173</v>
      </c>
      <c r="D589" s="30" t="s">
        <v>1094</v>
      </c>
    </row>
    <row r="590" spans="1:4">
      <c r="A590" t="s">
        <v>929</v>
      </c>
      <c r="B590" t="s">
        <v>1095</v>
      </c>
      <c r="C590" t="s">
        <v>173</v>
      </c>
      <c r="D590" s="30" t="s">
        <v>1096</v>
      </c>
    </row>
    <row r="591" spans="1:4">
      <c r="A591" t="s">
        <v>929</v>
      </c>
      <c r="B591" t="s">
        <v>1097</v>
      </c>
      <c r="C591" t="s">
        <v>173</v>
      </c>
      <c r="D591" s="30" t="s">
        <v>1098</v>
      </c>
    </row>
    <row r="592" spans="1:4">
      <c r="A592" s="87"/>
      <c r="B592" s="87"/>
      <c r="C592" s="87"/>
      <c r="D592" s="87"/>
    </row>
    <row r="593" spans="1:4">
      <c r="A593" s="87"/>
      <c r="B593" s="87"/>
      <c r="C593" s="88"/>
      <c r="D593" s="104"/>
    </row>
  </sheetData>
  <autoFilter ref="A2:E591" xr:uid="{43585AF4-68F4-4291-9F70-7CDE9450F6A3}"/>
  <mergeCells count="1">
    <mergeCell ref="C1:D1"/>
  </mergeCells>
  <phoneticPr fontId="8" type="noConversion"/>
  <pageMargins left="0.7" right="0.7" top="0.75" bottom="0.75" header="0.3" footer="0.3"/>
  <headerFooter>
    <oddFooter>&amp;L_x000D_&amp;1#&amp;"Aptos"&amp;10&amp;K000000 TLP:AMBER - vertraulich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513D42BAB94749BF98730FF7F7E801" ma:contentTypeVersion="12" ma:contentTypeDescription="Ein neues Dokument erstellen." ma:contentTypeScope="" ma:versionID="f3e276db18be7a6316c21a1f725b39e9">
  <xsd:schema xmlns:xsd="http://www.w3.org/2001/XMLSchema" xmlns:xs="http://www.w3.org/2001/XMLSchema" xmlns:p="http://schemas.microsoft.com/office/2006/metadata/properties" xmlns:ns2="e4361cca-6ff4-4873-ad8b-ea1762d80a5f" xmlns:ns3="4f20c337-da6c-4823-a7c5-4a1c4b26feb7" targetNamespace="http://schemas.microsoft.com/office/2006/metadata/properties" ma:root="true" ma:fieldsID="29c65a843f6d579c213d396d44b96486" ns2:_="" ns3:_="">
    <xsd:import namespace="e4361cca-6ff4-4873-ad8b-ea1762d80a5f"/>
    <xsd:import namespace="4f20c337-da6c-4823-a7c5-4a1c4b26f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61cca-6ff4-4873-ad8b-ea1762d80a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2130dff-0f6b-4ee7-bbfa-3cb338db2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c337-da6c-4823-a7c5-4a1c4b26feb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25f374b-01dc-49c5-b191-83f82b9e1e05}" ma:internalName="TaxCatchAll" ma:showField="CatchAllData" ma:web="4f20c337-da6c-4823-a7c5-4a1c4b26f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361cca-6ff4-4873-ad8b-ea1762d80a5f">
      <Terms xmlns="http://schemas.microsoft.com/office/infopath/2007/PartnerControls"/>
    </lcf76f155ced4ddcb4097134ff3c332f>
    <TaxCatchAll xmlns="4f20c337-da6c-4823-a7c5-4a1c4b26fe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01107D-8200-4910-8737-05123B60FBAC}"/>
</file>

<file path=customXml/itemProps2.xml><?xml version="1.0" encoding="utf-8"?>
<ds:datastoreItem xmlns:ds="http://schemas.openxmlformats.org/officeDocument/2006/customXml" ds:itemID="{0011B7E0-CF7E-4F87-8C69-2DB90DBADBE4}"/>
</file>

<file path=customXml/itemProps3.xml><?xml version="1.0" encoding="utf-8"?>
<ds:datastoreItem xmlns:ds="http://schemas.openxmlformats.org/officeDocument/2006/customXml" ds:itemID="{79F09F44-467F-49AF-8A23-79F8DF238682}"/>
</file>

<file path=docMetadata/LabelInfo.xml><?xml version="1.0" encoding="utf-8"?>
<clbl:labelList xmlns:clbl="http://schemas.microsoft.com/office/2020/mipLabelMetadata">
  <clbl:label id="{2d8b24e5-b9a4-4e15-ba29-0d61d2b19ad1}" enabled="1" method="Standard" siteId="{7d463204-c9c5-402a-a1c6-f7bbe8e5ee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Friedrich Dirk</dc:creator>
  <cp:keywords/>
  <dc:description/>
  <cp:lastModifiedBy/>
  <cp:revision/>
  <dcterms:created xsi:type="dcterms:W3CDTF">2024-04-27T08:51:11Z</dcterms:created>
  <dcterms:modified xsi:type="dcterms:W3CDTF">2026-03-20T14:55:25Z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0x010100A3513D42BAB94749BF98730FF7F7E801</vt:lpwstr>
  </property>
</Properties>
</file>