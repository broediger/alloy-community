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ngrp.sharepoint.com/teams/AG_2311_00474_EVN/Arbeitsgruppen Dokumente/05_Architektur/01 Energielieferverträge für Organisation erstellen-ändern/Tarifwechsel/"/>
    </mc:Choice>
  </mc:AlternateContent>
  <xr:revisionPtr revIDLastSave="0" documentId="8_{93DA12AB-8A24-4CA5-AAEC-271B6EF15737}" xr6:coauthVersionLast="47" xr6:coauthVersionMax="47" xr10:uidLastSave="{00000000-0000-0000-0000-000000000000}"/>
  <bookViews>
    <workbookView xWindow="-108" yWindow="-108" windowWidth="23256" windowHeight="12252" tabRatio="643" xr2:uid="{655BD633-04C1-406A-9543-AC8C28F02AC4}"/>
  </bookViews>
  <sheets>
    <sheet name="Historie" sheetId="6" r:id="rId1"/>
    <sheet name="Service Bus" sheetId="3" r:id="rId2"/>
    <sheet name="Interface Rules" sheetId="4" r:id="rId3"/>
    <sheet name="Interface Mapping (Main Doc)" sheetId="2" r:id="rId4"/>
    <sheet name="Enumerations" sheetId="5" r:id="rId5"/>
  </sheets>
  <definedNames>
    <definedName name="_xlnm._FilterDatabase" localSheetId="4" hidden="1">Enumerations!#REF!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/>
  <c r="E69" i="2"/>
  <c r="E68" i="2"/>
  <c r="E67" i="2" s="1"/>
  <c r="E52" i="2"/>
  <c r="E46" i="2"/>
  <c r="E3" i="2"/>
  <c r="E4" i="2"/>
  <c r="E6" i="2"/>
  <c r="E66" i="2"/>
  <c r="E65" i="2" s="1"/>
  <c r="E64" i="2"/>
  <c r="E63" i="2"/>
  <c r="E51" i="2"/>
  <c r="E50" i="2" s="1"/>
  <c r="E49" i="2" s="1"/>
  <c r="E48" i="2" s="1"/>
  <c r="E45" i="2"/>
  <c r="E44" i="2" s="1"/>
  <c r="E43" i="2" s="1"/>
  <c r="E42" i="2" s="1"/>
  <c r="E41" i="2" s="1"/>
  <c r="E40" i="2" s="1"/>
  <c r="E28" i="2"/>
  <c r="E27" i="2"/>
  <c r="E26" i="2" s="1"/>
  <c r="C25" i="2"/>
  <c r="E24" i="2"/>
  <c r="E23" i="2"/>
  <c r="E22" i="2" s="1"/>
  <c r="C23" i="2"/>
  <c r="C21" i="2"/>
  <c r="C18" i="2"/>
  <c r="E17" i="2"/>
  <c r="C17" i="2"/>
  <c r="E16" i="2"/>
  <c r="E15" i="2" s="1"/>
  <c r="E14" i="2" s="1"/>
  <c r="C16" i="2"/>
  <c r="E13" i="2"/>
  <c r="C13" i="2"/>
  <c r="E12" i="2"/>
  <c r="C11" i="2"/>
  <c r="E7" i="2"/>
  <c r="E5" i="2" s="1"/>
  <c r="C3" i="2"/>
  <c r="E62" i="2" l="1"/>
  <c r="E61" i="2" s="1"/>
  <c r="E60" i="2" s="1"/>
  <c r="E59" i="2" s="1"/>
  <c r="E58" i="2" s="1"/>
  <c r="E57" i="2" s="1"/>
  <c r="E56" i="2" s="1"/>
  <c r="E55" i="2" s="1"/>
  <c r="E54" i="2" s="1"/>
  <c r="E53" i="2" s="1"/>
  <c r="E25" i="2"/>
  <c r="E39" i="2"/>
  <c r="E38" i="2" s="1"/>
  <c r="E37" i="2" s="1"/>
  <c r="E36" i="2"/>
  <c r="E35" i="2" s="1"/>
  <c r="E34" i="2" s="1"/>
  <c r="E33" i="2"/>
  <c r="E32" i="2" s="1"/>
  <c r="E31" i="2" s="1"/>
  <c r="E30" i="2" s="1"/>
  <c r="E29" i="2" s="1"/>
  <c r="E21" i="2"/>
  <c r="E11" i="2"/>
  <c r="E10" i="2" s="1"/>
  <c r="E19" i="2"/>
  <c r="E18" i="2"/>
  <c r="E20" i="2"/>
  <c r="E8" i="2" l="1"/>
  <c r="E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Kirchner Bernhard (Externer)</author>
  </authors>
  <commentList>
    <comment ref="M49" authorId="0" shapeId="0" xr:uid="{229918E1-023F-49E7-A114-A4229633BBBC}">
      <text>
        <r>
          <rPr>
            <sz val="11"/>
            <color theme="1"/>
            <rFont val="Calibri"/>
            <family val="2"/>
            <scheme val="minor"/>
          </rPr>
          <t>Kirchner Bernhard (Externer):
hardcoded in the meantime</t>
        </r>
      </text>
    </comment>
  </commentList>
</comments>
</file>

<file path=xl/sharedStrings.xml><?xml version="1.0" encoding="utf-8"?>
<sst xmlns="http://schemas.openxmlformats.org/spreadsheetml/2006/main" count="560" uniqueCount="288">
  <si>
    <t>CRM2ISU - Tairfwechsel - Änderungshistorie</t>
  </si>
  <si>
    <t>Durchgeführte Änderungen an dem Interface Mapping werden hier angeführt sowie in dem Tab "Interface Mapping (Main Doc)" blau hervorgehoben. Die aktuell gültige Version ist dem Filename zu entnehmen</t>
  </si>
  <si>
    <t>Version</t>
  </si>
  <si>
    <t>Datum</t>
  </si>
  <si>
    <t>Beschreibung</t>
  </si>
  <si>
    <t>Jira Link zur US</t>
  </si>
  <si>
    <t>Änderung durchgeführt durch</t>
  </si>
  <si>
    <t>Kommentar</t>
  </si>
  <si>
    <t>0.0</t>
  </si>
  <si>
    <t>n.a.</t>
  </si>
  <si>
    <t>Initiale Datei</t>
  </si>
  <si>
    <t>Gerald Collmann</t>
  </si>
  <si>
    <t>1.0</t>
  </si>
  <si>
    <t>Datenfelder aus dem IC CMI und CBC wurden hinzugefügt</t>
  </si>
  <si>
    <t>1.2</t>
  </si>
  <si>
    <t>Es wurde das Feld ProductID hinzugefügt</t>
  </si>
  <si>
    <t>Beauftragt durch Anton Gartner, umgesetzt durch Gerald Collmann</t>
  </si>
  <si>
    <t>1.3</t>
  </si>
  <si>
    <t>Vollständige Überarbeitung auf Basis des OpenAPI Specification Template</t>
  </si>
  <si>
    <t>Ronald Fassl</t>
  </si>
  <si>
    <t>1.4</t>
  </si>
  <si>
    <t>Die Felder PaymentIntervallData und paymentIntervall: "some text" wurden entfernt da diese nicht benötigt werden</t>
  </si>
  <si>
    <t>1.5.</t>
  </si>
  <si>
    <t>ppoContractEndDate optional</t>
  </si>
  <si>
    <t>Björn Rödiger</t>
  </si>
  <si>
    <t>1.6</t>
  </si>
  <si>
    <t>remove fields ppo and payment</t>
  </si>
  <si>
    <t>1.7</t>
  </si>
  <si>
    <t>add contractEndDate</t>
  </si>
  <si>
    <t>1.8.</t>
  </si>
  <si>
    <t>add contractBindingDateTo and cancellationDate</t>
  </si>
  <si>
    <t>1.9</t>
  </si>
  <si>
    <t>add transmissionAgreementIdDelete for process</t>
  </si>
  <si>
    <t>https://jira.apps.evn.at/projects/SFP/issues/SFP-2524</t>
  </si>
  <si>
    <t>Connection String for Service Bus DEV: Endpoint=</t>
  </si>
  <si>
    <t>Connection String for Service Bus BUILD: Endpoint=</t>
  </si>
  <si>
    <t>Connection String for Service Bus UAT: Endpoint=</t>
  </si>
  <si>
    <t>Connection String for Service Bus PROD: Endpoint=</t>
  </si>
  <si>
    <t>Topic: sapinterfaces</t>
  </si>
  <si>
    <r>
      <rPr>
        <b/>
        <sz val="11"/>
        <color theme="1"/>
        <rFont val="Calibri"/>
        <family val="2"/>
        <scheme val="minor"/>
      </rPr>
      <t>Subscription</t>
    </r>
    <r>
      <rPr>
        <sz val="11"/>
        <color theme="1"/>
        <rFont val="Calibri"/>
        <family val="2"/>
        <scheme val="minor"/>
      </rPr>
      <t>: </t>
    </r>
  </si>
  <si>
    <t xml:space="preserve">Name: </t>
  </si>
  <si>
    <t>Value: xxx</t>
  </si>
  <si>
    <t xml:space="preserve">That is a custom property of the service bus message you will create and send.
ServiceBusMessage message = new ServiceBusMessage(content);
message.ApplicationProperties.Add(„crmesint-operation“, „xxx“);
 </t>
  </si>
  <si>
    <t>Interface Rules</t>
  </si>
  <si>
    <t>§</t>
  </si>
  <si>
    <r>
      <rPr>
        <b/>
        <sz val="11"/>
        <color theme="1"/>
        <rFont val="Calibri"/>
        <family val="2"/>
        <scheme val="minor"/>
      </rPr>
      <t>Not all</t>
    </r>
    <r>
      <rPr>
        <sz val="11"/>
        <color theme="1"/>
        <rFont val="Calibri"/>
        <family val="2"/>
        <scheme val="minor"/>
      </rPr>
      <t xml:space="preserve"> Values in Payload are transmitted as Strings, encased by ""</t>
    </r>
  </si>
  <si>
    <r>
      <rPr>
        <b/>
        <sz val="11"/>
        <color theme="1"/>
        <rFont val="Calibri"/>
        <family val="2"/>
        <scheme val="minor"/>
      </rPr>
      <t xml:space="preserve">Date and Time </t>
    </r>
    <r>
      <rPr>
        <sz val="11"/>
        <color theme="1"/>
        <rFont val="Calibri"/>
        <family val="2"/>
        <scheme val="minor"/>
      </rPr>
      <t>values are passed as JSON (String) Datetime format ISO 8601 (e.g. "2012-04-21T18:25:43-05:00")</t>
    </r>
  </si>
  <si>
    <r>
      <rPr>
        <b/>
        <sz val="11"/>
        <color theme="1"/>
        <rFont val="Calibri"/>
        <family val="2"/>
        <scheme val="minor"/>
      </rPr>
      <t>Boolean</t>
    </r>
    <r>
      <rPr>
        <sz val="11"/>
        <color theme="1"/>
        <rFont val="Calibri"/>
        <family val="2"/>
        <scheme val="minor"/>
      </rPr>
      <t xml:space="preserve"> Values are passed always in the followign format true or false</t>
    </r>
  </si>
  <si>
    <r>
      <rPr>
        <b/>
        <sz val="11"/>
        <color rgb="FF000000"/>
        <rFont val="Calibri"/>
        <scheme val="minor"/>
      </rPr>
      <t>NULL</t>
    </r>
    <r>
      <rPr>
        <sz val="11"/>
        <color rgb="FF000000"/>
        <rFont val="Calibri"/>
        <scheme val="minor"/>
      </rPr>
      <t xml:space="preserve"> Values are not passed at all</t>
    </r>
  </si>
  <si>
    <r>
      <rPr>
        <b/>
        <sz val="11"/>
        <color theme="1"/>
        <rFont val="Calibri"/>
        <family val="2"/>
        <scheme val="minor"/>
      </rPr>
      <t>Enumerated</t>
    </r>
    <r>
      <rPr>
        <sz val="11"/>
        <color theme="1"/>
        <rFont val="Calibri"/>
        <family val="2"/>
        <scheme val="minor"/>
      </rPr>
      <t xml:space="preserve"> Values are passed as Strings, exactly as presentedn in column "Enumerations"</t>
    </r>
  </si>
  <si>
    <r>
      <t xml:space="preserve">More Properties and Values are sent via the payload than necessary. </t>
    </r>
    <r>
      <rPr>
        <b/>
        <sz val="11"/>
        <color theme="1"/>
        <rFont val="Calibri"/>
        <family val="2"/>
        <scheme val="minor"/>
      </rPr>
      <t>D365 will only consider the relevant Objects, Properties and Values</t>
    </r>
    <r>
      <rPr>
        <sz val="11"/>
        <color theme="1"/>
        <rFont val="Calibri"/>
        <family val="2"/>
        <scheme val="minor"/>
      </rPr>
      <t xml:space="preserve"> that are market as such in column "BELNB D365"</t>
    </r>
  </si>
  <si>
    <r>
      <rPr>
        <b/>
        <sz val="11"/>
        <color theme="1"/>
        <rFont val="Calibri"/>
        <family val="2"/>
        <scheme val="minor"/>
      </rPr>
      <t>Decimal values</t>
    </r>
    <r>
      <rPr>
        <sz val="11"/>
        <color theme="1"/>
        <rFont val="Calibri"/>
        <family val="2"/>
        <scheme val="minor"/>
      </rPr>
      <t xml:space="preserve"> are represented as a number </t>
    </r>
    <r>
      <rPr>
        <sz val="11"/>
        <rFont val="Calibri"/>
        <family val="2"/>
        <scheme val="minor"/>
      </rPr>
      <t xml:space="preserve">with </t>
    </r>
    <r>
      <rPr>
        <b/>
        <sz val="11"/>
        <rFont val="Calibri"/>
        <family val="2"/>
        <scheme val="minor"/>
      </rPr>
      <t>decimalpoint</t>
    </r>
  </si>
  <si>
    <r>
      <t xml:space="preserve">When processing </t>
    </r>
    <r>
      <rPr>
        <b/>
        <sz val="11"/>
        <color theme="1"/>
        <rFont val="Calibri"/>
        <family val="2"/>
        <scheme val="minor"/>
      </rPr>
      <t>Main payload, look for Process Doc payload</t>
    </r>
    <r>
      <rPr>
        <sz val="11"/>
        <color theme="1"/>
        <rFont val="Calibri"/>
        <family val="2"/>
        <scheme val="minor"/>
      </rPr>
      <t>, if it is not found, wait 2 minutes (to be configurable (evn variable)) and try again as many times as configured. If still not found, process main doc without ISU Process Doc</t>
    </r>
  </si>
  <si>
    <t>Dynamcics 365 to Azure - RateChangeManagemet (komplette Payload für nachfolgende Microservice Orchestrierung)</t>
  </si>
  <si>
    <t>"</t>
  </si>
  <si>
    <t>line</t>
  </si>
  <si>
    <t>used</t>
  </si>
  <si>
    <t>prefix</t>
  </si>
  <si>
    <t>sample value</t>
  </si>
  <si>
    <t>JSON Sample</t>
  </si>
  <si>
    <t>occurence</t>
  </si>
  <si>
    <t>Datentyp</t>
  </si>
  <si>
    <t>Länge</t>
  </si>
  <si>
    <t>Enum</t>
  </si>
  <si>
    <t>JSON DATA TYPE (if empty=string)</t>
  </si>
  <si>
    <t>Mapping Logic from D365</t>
  </si>
  <si>
    <t xml:space="preserve">D365 Field </t>
  </si>
  <si>
    <t>Notes</t>
  </si>
  <si>
    <t>{</t>
  </si>
  <si>
    <t>"businessPartnerData":{</t>
  </si>
  <si>
    <t>1000000001</t>
  </si>
  <si>
    <t>1..1</t>
  </si>
  <si>
    <t>businessPartner</t>
  </si>
  <si>
    <t>string</t>
  </si>
  <si>
    <t> </t>
  </si>
  <si>
    <t>QUOTELINE | evn_geschaftspartnerid &gt;&gt; ACCOUNT | evn_isugeschaeftspartnernummer</t>
  </si>
  <si>
    <t>},</t>
  </si>
  <si>
    <t>"processControlData":{</t>
  </si>
  <si>
    <t>384d6b5d-9ffe-4105-9927-f73df64d7698</t>
  </si>
  <si>
    <t>processId</t>
  </si>
  <si>
    <t>string&lt;uuid&gt;</t>
  </si>
  <si>
    <t>AutomateLogID</t>
  </si>
  <si>
    <t>2024-04-21T18:25:43+2:00</t>
  </si>
  <si>
    <t>processTriggerTimestamp</t>
  </si>
  <si>
    <t>string&lt;date-time&gt;</t>
  </si>
  <si>
    <t>aktuelles Datum</t>
  </si>
  <si>
    <t>evn.at</t>
  </si>
  <si>
    <t>processSource</t>
  </si>
  <si>
    <t>"CRM"</t>
  </si>
  <si>
    <t>2025-01-14</t>
  </si>
  <si>
    <t>0..1</t>
  </si>
  <si>
    <t>processDate</t>
  </si>
  <si>
    <t>string&lt;date&gt;</t>
  </si>
  <si>
    <t>EVN Laufzeitbeginn vom Lead</t>
  </si>
  <si>
    <t>"meteringPointData":{</t>
  </si>
  <si>
    <t>AT0020000000000000000000020000299</t>
  </si>
  <si>
    <t>meteringPoint</t>
  </si>
  <si>
    <t>QUOTELINE | evn_zaehlpunktid &gt;&gt; ZP | evn_name</t>
  </si>
  <si>
    <t>cf87f85e-034f-ef11-bfe2-000d3a20680b</t>
  </si>
  <si>
    <t>meteringPointCRMGuid</t>
  </si>
  <si>
    <t>QUOTELINE | evn_zaehlpunktid &gt;&gt; ZP |  zaehlpunktid</t>
  </si>
  <si>
    <t>"cmiData":{</t>
  </si>
  <si>
    <t>Remove from payload when environment variable "CMI/CBC Tarifwechsel" = "Yes"</t>
  </si>
  <si>
    <t>SF-1974</t>
  </si>
  <si>
    <t>plannedChangeDate</t>
  </si>
  <si>
    <t>D</t>
  </si>
  <si>
    <t>periodiciy</t>
  </si>
  <si>
    <t>QH</t>
  </si>
  <si>
    <t>granularity</t>
  </si>
  <si>
    <t>5000000000</t>
  </si>
  <si>
    <t>powerOfAttorneyId</t>
  </si>
  <si>
    <t>erikamustermann@email.com</t>
  </si>
  <si>
    <t>eMailAddress</t>
  </si>
  <si>
    <t>"cbcData":{</t>
  </si>
  <si>
    <t>QUOTE|evn_laufzeitbeginn</t>
  </si>
  <si>
    <t>SF-1683</t>
  </si>
  <si>
    <t>01</t>
  </si>
  <si>
    <t>consumptionBillingCycle</t>
  </si>
  <si>
    <t>QUOTE|evn_zahlungszyklus</t>
  </si>
  <si>
    <t>"rateChangeData":{</t>
  </si>
  <si>
    <t>4decd5e6-0b0c-44d6-a16a-5978f7191da1</t>
  </si>
  <si>
    <t>quotePositionCRMGuid</t>
  </si>
  <si>
    <t>QUOTELINE | evn_quotelineid</t>
  </si>
  <si>
    <t>2c7ce7fd-60e3-4785-97ff-11d6365342d4</t>
  </si>
  <si>
    <t>quoteCRMGuid</t>
  </si>
  <si>
    <t>QUOTE | quoteid</t>
  </si>
  <si>
    <t>ID12334563</t>
  </si>
  <si>
    <t>ppoPricingId</t>
  </si>
  <si>
    <t>IF QUOTE|evn_produktpreisstellungid contains data, take
QUOTE|evn_produktpreisstellungid &gt;&gt; EVN Produktpreisstellung | evn_produktpreisstellungid
ELSE, take
QUOTE|evn_produktpreisstellungidtext</t>
  </si>
  <si>
    <t>SB0003</t>
  </si>
  <si>
    <t>ppoProductId</t>
  </si>
  <si>
    <t>see</t>
  </si>
  <si>
    <t>some text</t>
  </si>
  <si>
    <t>ppoProductVariant</t>
  </si>
  <si>
    <t>QUOTE|evn_produktpreisstellungid (EVN Produktpreisstellung) &gt;&gt; EVN Produktpreisstellung | evn_produktvariante</t>
  </si>
  <si>
    <t>ppoSalesArea</t>
  </si>
  <si>
    <t>QUOTE|evn_produktpreisstellungid (EVN Produktpreisstellung) &gt;&gt; EVN Produktpreisstellung | evn_vertriebsgebiet</t>
  </si>
  <si>
    <t>ppoContractBeginDate</t>
  </si>
  <si>
    <t>ppoContractEndDate</t>
  </si>
  <si>
    <t>QUOTE|evn_laufzeitende</t>
  </si>
  <si>
    <t>ppoPriceSheet</t>
  </si>
  <si>
    <t>QUOTE|evn_produktpreisstellungid (EVN Produktpreisstellung) &gt;&gt; EVN Produktpreisstellung | evn_preisblatt</t>
  </si>
  <si>
    <t>contractConclusionDate</t>
  </si>
  <si>
    <t>LEAD | EVN Laufzeitbeginn</t>
  </si>
  <si>
    <t>20</t>
  </si>
  <si>
    <t>discountEnergyPricePercent</t>
  </si>
  <si>
    <t>QUOTE|evn_rabattarbeitspreisinproz</t>
  </si>
  <si>
    <t>discountEnergyPriceValidFrom</t>
  </si>
  <si>
    <t>QUOTE|evn_rabattarbeitspreisvon</t>
  </si>
  <si>
    <t>discountEnergyPriceValidTo</t>
  </si>
  <si>
    <t>QUOTE|evn_rabattarbeitspreisbis</t>
  </si>
  <si>
    <t>discountBasicPricePercent</t>
  </si>
  <si>
    <t>QUOTE|evn_rabattgrundpreisinproz</t>
  </si>
  <si>
    <t>discountBasicPriceValidFrom</t>
  </si>
  <si>
    <t>QUOTE|evn_rabattgrundpreisvon</t>
  </si>
  <si>
    <t>discountBasicPriceValidTo</t>
  </si>
  <si>
    <t>QUOTE|evn_rabattgrundpreisbis</t>
  </si>
  <si>
    <t>"transferAgreementData":{</t>
  </si>
  <si>
    <t>Only when QUOTE|evn_rechnungslegungscode = "Email"</t>
  </si>
  <si>
    <t>SFP-2278</t>
  </si>
  <si>
    <t>0001</t>
  </si>
  <si>
    <t>transmissionAgreementIdDelete</t>
  </si>
  <si>
    <t>emailAddress</t>
  </si>
  <si>
    <t>QUOTE|evn_rechnungslegungemail</t>
  </si>
  <si>
    <t>EMAIL</t>
  </si>
  <si>
    <t>transmissionType</t>
  </si>
  <si>
    <t>EXTERNAL VALUE OF</t>
  </si>
  <si>
    <t>QUOTE|evn_rechnungslegungscode</t>
  </si>
  <si>
    <t>RE_PDF</t>
  </si>
  <si>
    <t>transmissionFormat</t>
  </si>
  <si>
    <t>"RE_PDF"</t>
  </si>
  <si>
    <t>"paymentInformationData":{</t>
  </si>
  <si>
    <t>AT726000000001049462</t>
  </si>
  <si>
    <t>iban</t>
  </si>
  <si>
    <t>Max Mustermann</t>
  </si>
  <si>
    <t>bankAccountHolderName</t>
  </si>
  <si>
    <t>validityStartDate</t>
  </si>
  <si>
    <t>bankIdentificationIncomingPayments</t>
  </si>
  <si>
    <t>QUOTE|opportunityid &gt;&gt;OPP|evn_bankkontoeingehendid</t>
  </si>
  <si>
    <t>L</t>
  </si>
  <si>
    <t>incomingPaymentMethod</t>
  </si>
  <si>
    <t>QUOTE|evn_zahlungsarteingehendcode</t>
  </si>
  <si>
    <t>should be taken from QUOTE</t>
  </si>
  <si>
    <t>bankIdentificationOutgoingPayments</t>
  </si>
  <si>
    <t>QUOTE|opportunityid &gt;&gt;OPP|evn_bankkontoausgehendid</t>
  </si>
  <si>
    <t>R</t>
  </si>
  <si>
    <t>outgoingPaymentMethod</t>
  </si>
  <si>
    <t>QUOTE|evn_zahlungsartausgehend</t>
  </si>
  <si>
    <t>EV14</t>
  </si>
  <si>
    <t>paymentCondition</t>
  </si>
  <si>
    <t>QUOTELINE | evn_zaehlpunktid &gt;&gt;ZAEHLPUNKT|evn_zahlungskonditioncode</t>
  </si>
  <si>
    <t>1045784711</t>
  </si>
  <si>
    <t>alternativeInvoiceRecipient</t>
  </si>
  <si>
    <t>QUOTELINE | evn_zaehlpunktid &gt;&gt;ZAEHLPUNKT|evn_abweichenderrechnungsempfaengerid  &gt;&gt; ACCOUNT | evn_isugeschaeftspartnernummer</t>
  </si>
  <si>
    <t>00</t>
  </si>
  <si>
    <t>budgetBillingCycle</t>
  </si>
  <si>
    <t>QUOTE|abschlagszykluscode</t>
  </si>
  <si>
    <t>"paymentIntervalData":{</t>
  </si>
  <si>
    <t>paymentInterval</t>
  </si>
  <si>
    <t>}</t>
  </si>
  <si>
    <t>contractBindingDateTo</t>
  </si>
  <si>
    <t>=</t>
  </si>
  <si>
    <t>QUOTE|evn_gebundenbis</t>
  </si>
  <si>
    <t>[SF-1487] [CRM] SendTarifwechselToISU überträgt kein Bindungsdatum/Kündigungsfrist - EVN JIRA DC</t>
  </si>
  <si>
    <t>cancellationDate</t>
  </si>
  <si>
    <t>QUOTE|evn_zukuendigenbis</t>
  </si>
  <si>
    <t>Choice Name</t>
  </si>
  <si>
    <t>Choice Value</t>
  </si>
  <si>
    <t>Beschreibung (field in Interface Mapping)</t>
  </si>
  <si>
    <t>Interface Value</t>
  </si>
  <si>
    <t>Comment</t>
  </si>
  <si>
    <t>Lastschrift SEPA</t>
  </si>
  <si>
    <t>P</t>
  </si>
  <si>
    <t>Postbaranweisung</t>
  </si>
  <si>
    <t>Überweisung SEPA</t>
  </si>
  <si>
    <t>EV11</t>
  </si>
  <si>
    <t>BUDAT: innerhalb von 45 Tg ohne Abzug</t>
  </si>
  <si>
    <t>EV12</t>
  </si>
  <si>
    <t>13-16 1. nächst.M. sonst +16 Tag</t>
  </si>
  <si>
    <t>EV13</t>
  </si>
  <si>
    <t>Sofort Fäofort Fällif</t>
  </si>
  <si>
    <t>BUDAT: innerhalb von 8 Tg ohne Abzug</t>
  </si>
  <si>
    <t>EV20</t>
  </si>
  <si>
    <t>BUDAT: innerhalb von 20 Tg ohne Abzug</t>
  </si>
  <si>
    <t>EV25</t>
  </si>
  <si>
    <t>BUDAT: innerhalb von 25 Tg ohne Abzug</t>
  </si>
  <si>
    <t>EVN1</t>
  </si>
  <si>
    <t>BUDAT: innerhalb von 19 Tg ohne Abzug</t>
  </si>
  <si>
    <t>EVN2</t>
  </si>
  <si>
    <t>BUDAT: 20. bis 4. - 16 Tg. ab 4.</t>
  </si>
  <si>
    <t>EVN3</t>
  </si>
  <si>
    <t>BUDAT: innerhalb von 14 Tg ohne Abzug</t>
  </si>
  <si>
    <t>EVN4</t>
  </si>
  <si>
    <t>BUDAT: innerhalb von 30 Tg ohne Abzug</t>
  </si>
  <si>
    <t>EVN5</t>
  </si>
  <si>
    <t>CPUDAT: 10. d. FM bis 15 - 10. in 2 Mon.</t>
  </si>
  <si>
    <t>EVN6</t>
  </si>
  <si>
    <t>CPUDAT: innerhalb von 22 Tg ohne Abzug</t>
  </si>
  <si>
    <t>EVN7</t>
  </si>
  <si>
    <t>BUDAT: 27. bis 17. - 14. Tg. ab 17.</t>
  </si>
  <si>
    <t>EVN8</t>
  </si>
  <si>
    <t>CPUDAT: fällig am 1. d. Folgem. o. Abzug</t>
  </si>
  <si>
    <t>EVN9</t>
  </si>
  <si>
    <t>CPUDAT: fällig innerhalb 60 Tagen</t>
  </si>
  <si>
    <t>EVNA</t>
  </si>
  <si>
    <t>BUDAT: 14 Tg bis 5. - 10. d. FM</t>
  </si>
  <si>
    <t>PAK1</t>
  </si>
  <si>
    <t>CPUDAT: 1. d. FM bis 17.- 14 Tg. ab 17.</t>
  </si>
  <si>
    <t>Keine Abschläge</t>
  </si>
  <si>
    <t>Monatlicher Abstand der Abschläge</t>
  </si>
  <si>
    <t>03</t>
  </si>
  <si>
    <t>Dreimonatlicher Abstand der Abschläge</t>
  </si>
  <si>
    <t>06</t>
  </si>
  <si>
    <t>Sechsmonatlicher Abstand der Abschläge</t>
  </si>
  <si>
    <t>Email</t>
  </si>
  <si>
    <t>FTP</t>
  </si>
  <si>
    <t>GEM_XML</t>
  </si>
  <si>
    <t>elektr. xml-Rechnung an Gemeinde (GEMDAT)</t>
  </si>
  <si>
    <t>GV_CI</t>
  </si>
  <si>
    <t>Dienstleistungen (CI-Vertragskonten) für öffentliche Stellen wie Bund, ÖBB etc.</t>
  </si>
  <si>
    <t>GV_EBU</t>
  </si>
  <si>
    <t>ebUtilities-Version für öffentliche Stellen wie Bund, ÖBB etc.</t>
  </si>
  <si>
    <t>KONZINT_CI</t>
  </si>
  <si>
    <t>Konzerninterne Verrechnung für Dienstleistungen (CI-Vertragskonten)</t>
  </si>
  <si>
    <t>KONZIN_EBU</t>
  </si>
  <si>
    <t>Konzerninterne Verrechnung für Energierechnungen</t>
  </si>
  <si>
    <t>PDF-Rechnung als E-Mail-Anhang</t>
  </si>
  <si>
    <t>RE_XML</t>
  </si>
  <si>
    <t>elektr. xml-Rechnung an Business Kunden</t>
  </si>
  <si>
    <t>VSK_EMAIL</t>
  </si>
  <si>
    <t>VSK per E-Mail</t>
  </si>
  <si>
    <t>VSK_PORTAL</t>
  </si>
  <si>
    <t>VSK ins Kundenportal</t>
  </si>
  <si>
    <t>VSK_POST</t>
  </si>
  <si>
    <t>VSK per Post</t>
  </si>
  <si>
    <t>periodicity</t>
  </si>
  <si>
    <t>Täglich</t>
  </si>
  <si>
    <t>M</t>
  </si>
  <si>
    <t>Monatlich</t>
  </si>
  <si>
    <t>Tageswerte</t>
  </si>
  <si>
    <t>H</t>
  </si>
  <si>
    <t>Stundenwerte (Gas)</t>
  </si>
  <si>
    <t>Monatswerte</t>
  </si>
  <si>
    <t>NG</t>
  </si>
  <si>
    <t>Keine Granularität</t>
  </si>
  <si>
    <t>Viertelstunde</t>
  </si>
  <si>
    <t>12</t>
  </si>
  <si>
    <t>Jährlich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</si>
</sst>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0"/>
      <name val="Arial"/>
    </font>
    <font>
      <sz val="11"/>
      <color theme="1"/>
      <name val="Arial"/>
    </font>
    <font>
      <sz val="11"/>
      <color rgb="FFFFFFFF"/>
      <name val="Arial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rgb="FF000000"/>
      <name val="Aptos Narrow"/>
      <family val="2"/>
    </font>
    <font>
      <i/>
      <strike/>
      <sz val="11"/>
      <color theme="2" tint="-9.9978637043366805E-2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0" fillId="0" borderId="2" xfId="0" applyBorder="1"/>
    <xf numFmtId="0" fontId="0" fillId="0" borderId="3" xfId="0" applyBorder="1" applyAlignment="1">
      <alignment wrapText="1"/>
    </xf>
    <xf numFmtId="0" fontId="1" fillId="0" borderId="1" xfId="0" applyFont="1" applyBorder="1"/>
    <xf numFmtId="0" fontId="8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3" fillId="5" borderId="4" xfId="0" applyFont="1" applyFill="1" applyBorder="1"/>
    <xf numFmtId="0" fontId="1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3" fillId="7" borderId="0" xfId="0" applyFont="1" applyFill="1"/>
    <xf numFmtId="0" fontId="20" fillId="8" borderId="4" xfId="0" applyFont="1" applyFill="1" applyBorder="1"/>
    <xf numFmtId="0" fontId="21" fillId="0" borderId="4" xfId="0" applyFont="1" applyBorder="1"/>
    <xf numFmtId="0" fontId="10" fillId="6" borderId="4" xfId="1" applyFill="1" applyBorder="1"/>
    <xf numFmtId="0" fontId="22" fillId="9" borderId="4" xfId="0" applyFont="1" applyFill="1" applyBorder="1"/>
    <xf numFmtId="0" fontId="22" fillId="9" borderId="5" xfId="0" applyFont="1" applyFill="1" applyBorder="1"/>
    <xf numFmtId="0" fontId="22" fillId="9" borderId="6" xfId="0" applyFont="1" applyFill="1" applyBorder="1"/>
    <xf numFmtId="14" fontId="21" fillId="0" borderId="4" xfId="0" applyNumberFormat="1" applyFont="1" applyBorder="1" applyAlignment="1">
      <alignment horizontal="right"/>
    </xf>
    <xf numFmtId="0" fontId="24" fillId="0" borderId="0" xfId="0" applyFont="1"/>
    <xf numFmtId="0" fontId="3" fillId="5" borderId="7" xfId="0" applyFont="1" applyFill="1" applyBorder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3" fillId="6" borderId="0" xfId="0" applyFont="1" applyFill="1"/>
    <xf numFmtId="0" fontId="17" fillId="6" borderId="0" xfId="0" applyFont="1" applyFill="1"/>
    <xf numFmtId="0" fontId="0" fillId="0" borderId="7" xfId="0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9" fillId="0" borderId="8" xfId="0" applyFont="1" applyBorder="1"/>
    <xf numFmtId="0" fontId="0" fillId="11" borderId="4" xfId="0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8" xfId="0" applyNumberForma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/>
    <xf numFmtId="0" fontId="0" fillId="0" borderId="4" xfId="0" applyBorder="1"/>
    <xf numFmtId="0" fontId="21" fillId="0" borderId="7" xfId="0" applyFont="1" applyBorder="1"/>
    <xf numFmtId="0" fontId="0" fillId="0" borderId="4" xfId="0" applyBorder="1" applyAlignment="1">
      <alignment horizontal="left" vertical="top" wrapText="1"/>
    </xf>
    <xf numFmtId="49" fontId="17" fillId="11" borderId="8" xfId="0" applyNumberFormat="1" applyFont="1" applyFill="1" applyBorder="1" applyAlignment="1">
      <alignment horizontal="left" vertical="center"/>
    </xf>
    <xf numFmtId="0" fontId="17" fillId="11" borderId="8" xfId="0" applyFont="1" applyFill="1" applyBorder="1" applyAlignment="1">
      <alignment horizontal="left" vertical="center"/>
    </xf>
    <xf numFmtId="0" fontId="17" fillId="11" borderId="8" xfId="0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horizontal="left" vertical="center" wrapText="1"/>
    </xf>
    <xf numFmtId="0" fontId="26" fillId="11" borderId="8" xfId="0" applyFont="1" applyFill="1" applyBorder="1"/>
    <xf numFmtId="0" fontId="27" fillId="11" borderId="4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0" fontId="28" fillId="11" borderId="8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top"/>
    </xf>
    <xf numFmtId="0" fontId="10" fillId="0" borderId="4" xfId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49" fontId="21" fillId="0" borderId="4" xfId="0" applyNumberFormat="1" applyFont="1" applyBorder="1"/>
    <xf numFmtId="14" fontId="21" fillId="0" borderId="4" xfId="0" applyNumberFormat="1" applyFont="1" applyBorder="1" applyAlignment="1">
      <alignment horizontal="right" vertical="top"/>
    </xf>
    <xf numFmtId="0" fontId="13" fillId="13" borderId="8" xfId="0" applyFont="1" applyFill="1" applyBorder="1" applyAlignment="1">
      <alignment horizontal="center" vertical="center"/>
    </xf>
    <xf numFmtId="49" fontId="17" fillId="13" borderId="8" xfId="0" applyNumberFormat="1" applyFont="1" applyFill="1" applyBorder="1" applyAlignment="1">
      <alignment horizontal="left" vertical="center"/>
    </xf>
    <xf numFmtId="0" fontId="17" fillId="13" borderId="8" xfId="0" applyFont="1" applyFill="1" applyBorder="1" applyAlignment="1">
      <alignment horizontal="left" vertical="center"/>
    </xf>
    <xf numFmtId="0" fontId="17" fillId="13" borderId="8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left" vertical="center" wrapText="1"/>
    </xf>
    <xf numFmtId="0" fontId="26" fillId="13" borderId="8" xfId="0" applyFont="1" applyFill="1" applyBorder="1"/>
    <xf numFmtId="49" fontId="1" fillId="0" borderId="8" xfId="0" applyNumberFormat="1" applyFont="1" applyBorder="1" applyAlignment="1">
      <alignment horizontal="left" vertical="center"/>
    </xf>
    <xf numFmtId="0" fontId="29" fillId="0" borderId="9" xfId="0" applyFont="1" applyBorder="1" applyAlignment="1">
      <alignment wrapText="1"/>
    </xf>
    <xf numFmtId="0" fontId="15" fillId="0" borderId="4" xfId="0" applyFont="1" applyBorder="1"/>
    <xf numFmtId="0" fontId="29" fillId="0" borderId="10" xfId="0" applyFont="1" applyBorder="1" applyAlignment="1">
      <alignment wrapText="1"/>
    </xf>
    <xf numFmtId="0" fontId="30" fillId="0" borderId="0" xfId="0" applyFont="1"/>
    <xf numFmtId="0" fontId="15" fillId="0" borderId="11" xfId="0" applyFont="1" applyBorder="1"/>
    <xf numFmtId="0" fontId="31" fillId="0" borderId="12" xfId="0" applyFont="1" applyBorder="1" applyAlignment="1">
      <alignment wrapText="1"/>
    </xf>
    <xf numFmtId="0" fontId="32" fillId="0" borderId="0" xfId="0" applyFont="1"/>
    <xf numFmtId="0" fontId="16" fillId="14" borderId="4" xfId="0" applyFont="1" applyFill="1" applyBorder="1"/>
    <xf numFmtId="0" fontId="16" fillId="14" borderId="11" xfId="0" applyFont="1" applyFill="1" applyBorder="1"/>
    <xf numFmtId="0" fontId="33" fillId="0" borderId="10" xfId="0" applyFont="1" applyBorder="1" applyAlignment="1">
      <alignment wrapText="1"/>
    </xf>
    <xf numFmtId="0" fontId="33" fillId="12" borderId="10" xfId="0" applyFont="1" applyFill="1" applyBorder="1" applyAlignment="1">
      <alignment wrapText="1"/>
    </xf>
    <xf numFmtId="0" fontId="21" fillId="0" borderId="4" xfId="0" applyFont="1" applyBorder="1" applyAlignment="1">
      <alignment wrapText="1"/>
    </xf>
    <xf numFmtId="0" fontId="10" fillId="0" borderId="4" xfId="1" applyFill="1" applyBorder="1"/>
    <xf numFmtId="0" fontId="3" fillId="6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49" fontId="17" fillId="0" borderId="8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0" fontId="26" fillId="0" borderId="8" xfId="0" applyFont="1" applyBorder="1"/>
    <xf numFmtId="0" fontId="28" fillId="0" borderId="8" xfId="0" applyFont="1" applyBorder="1" applyAlignment="1">
      <alignment horizontal="center" vertical="center" wrapText="1"/>
    </xf>
    <xf numFmtId="0" fontId="29" fillId="12" borderId="10" xfId="0" applyFont="1" applyFill="1" applyBorder="1" applyAlignment="1">
      <alignment wrapText="1"/>
    </xf>
    <xf numFmtId="0" fontId="29" fillId="15" borderId="10" xfId="0" applyFont="1" applyFill="1" applyBorder="1" applyAlignment="1">
      <alignment wrapText="1"/>
    </xf>
    <xf numFmtId="0" fontId="15" fillId="15" borderId="4" xfId="0" applyFont="1" applyFill="1" applyBorder="1"/>
    <xf numFmtId="0" fontId="15" fillId="15" borderId="11" xfId="0" applyFont="1" applyFill="1" applyBorder="1"/>
    <xf numFmtId="0" fontId="17" fillId="0" borderId="0" xfId="0" applyFont="1"/>
    <xf numFmtId="49" fontId="17" fillId="0" borderId="0" xfId="0" applyNumberFormat="1" applyFont="1"/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29" fillId="15" borderId="0" xfId="0" applyFont="1" applyFill="1" applyAlignment="1">
      <alignment wrapText="1"/>
    </xf>
    <xf numFmtId="0" fontId="4" fillId="3" borderId="0" xfId="0" applyFont="1" applyFill="1" applyAlignment="1">
      <alignment horizontal="left" vertical="center"/>
    </xf>
    <xf numFmtId="0" fontId="23" fillId="10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apps.evn.at/projects/SFP/issues/SFP-252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jira.apps.evn.at/browse/SF-1487" TargetMode="External"/><Relationship Id="rId1" Type="http://schemas.openxmlformats.org/officeDocument/2006/relationships/hyperlink" Target="https://jira.apps.evn.at/browse/SF-14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B71D-BE06-434F-B0EB-801C2493F3A3}">
  <sheetPr>
    <tabColor rgb="FF0070C0"/>
  </sheetPr>
  <dimension ref="A1:I20"/>
  <sheetViews>
    <sheetView showGridLines="0" tabSelected="1" workbookViewId="0">
      <selection activeCell="B13" sqref="B13"/>
    </sheetView>
  </sheetViews>
  <sheetFormatPr defaultColWidth="8.85546875" defaultRowHeight="14.45"/>
  <cols>
    <col min="1" max="1" width="23.7109375" bestFit="1" customWidth="1"/>
    <col min="2" max="2" width="16.140625" customWidth="1"/>
    <col min="3" max="3" width="73.42578125" bestFit="1" customWidth="1"/>
    <col min="4" max="4" width="22.42578125" customWidth="1"/>
    <col min="5" max="5" width="60.85546875" bestFit="1" customWidth="1"/>
    <col min="6" max="6" width="25.140625" customWidth="1"/>
    <col min="9" max="9" width="16.42578125" customWidth="1"/>
  </cols>
  <sheetData>
    <row r="1" spans="1:9" ht="18">
      <c r="A1" s="34" t="s">
        <v>0</v>
      </c>
    </row>
    <row r="2" spans="1:9" ht="15.6">
      <c r="A2" s="107" t="s">
        <v>1</v>
      </c>
      <c r="B2" s="107"/>
      <c r="C2" s="107"/>
      <c r="D2" s="107"/>
      <c r="E2" s="107"/>
      <c r="F2" s="107"/>
      <c r="G2" s="107"/>
      <c r="H2" s="107"/>
      <c r="I2" s="107"/>
    </row>
    <row r="3" spans="1:9" ht="15">
      <c r="A3" s="27" t="s">
        <v>2</v>
      </c>
      <c r="B3" s="27" t="s">
        <v>3</v>
      </c>
      <c r="C3" s="30" t="s">
        <v>4</v>
      </c>
      <c r="D3" s="31" t="s">
        <v>5</v>
      </c>
      <c r="E3" s="32" t="s">
        <v>6</v>
      </c>
      <c r="F3" s="32" t="s">
        <v>7</v>
      </c>
    </row>
    <row r="4" spans="1:9">
      <c r="A4" s="28" t="s">
        <v>8</v>
      </c>
      <c r="B4" s="33" t="s">
        <v>9</v>
      </c>
      <c r="C4" s="28" t="s">
        <v>10</v>
      </c>
      <c r="D4" s="29"/>
      <c r="E4" s="55" t="s">
        <v>11</v>
      </c>
      <c r="F4" s="54"/>
    </row>
    <row r="5" spans="1:9">
      <c r="A5" s="28" t="s">
        <v>12</v>
      </c>
      <c r="B5" s="33">
        <v>45672</v>
      </c>
      <c r="C5" s="28" t="s">
        <v>13</v>
      </c>
      <c r="D5" s="29"/>
      <c r="E5" s="55" t="s">
        <v>11</v>
      </c>
      <c r="F5" s="54"/>
    </row>
    <row r="6" spans="1:9">
      <c r="A6" s="28" t="s">
        <v>14</v>
      </c>
      <c r="B6" s="33">
        <v>45672</v>
      </c>
      <c r="C6" s="28" t="s">
        <v>15</v>
      </c>
      <c r="D6" s="29"/>
      <c r="E6" s="55" t="s">
        <v>16</v>
      </c>
      <c r="F6" s="54"/>
    </row>
    <row r="7" spans="1:9" ht="15">
      <c r="A7" s="68" t="s">
        <v>17</v>
      </c>
      <c r="B7" s="69">
        <v>45673</v>
      </c>
      <c r="C7" s="65" t="s">
        <v>18</v>
      </c>
      <c r="D7" s="66"/>
      <c r="E7" s="67" t="s">
        <v>19</v>
      </c>
      <c r="F7" s="56"/>
    </row>
    <row r="8" spans="1:9" ht="28.5">
      <c r="A8" s="68" t="s">
        <v>20</v>
      </c>
      <c r="B8" s="33">
        <v>45679</v>
      </c>
      <c r="C8" s="88" t="s">
        <v>21</v>
      </c>
      <c r="D8" s="89"/>
      <c r="E8" s="55" t="s">
        <v>11</v>
      </c>
      <c r="F8" s="56"/>
    </row>
    <row r="9" spans="1:9" ht="15">
      <c r="A9" s="28" t="s">
        <v>22</v>
      </c>
      <c r="B9" s="33">
        <v>45688</v>
      </c>
      <c r="C9" s="28" t="s">
        <v>23</v>
      </c>
      <c r="D9" s="29"/>
      <c r="E9" s="55" t="s">
        <v>24</v>
      </c>
      <c r="F9" s="54"/>
    </row>
    <row r="10" spans="1:9" ht="15">
      <c r="A10" s="68" t="s">
        <v>25</v>
      </c>
      <c r="B10" s="33">
        <v>45698</v>
      </c>
      <c r="C10" s="28" t="s">
        <v>26</v>
      </c>
      <c r="D10" s="29"/>
      <c r="E10" s="55" t="s">
        <v>24</v>
      </c>
      <c r="F10" s="54"/>
    </row>
    <row r="11" spans="1:9" ht="15">
      <c r="A11" s="68" t="s">
        <v>27</v>
      </c>
      <c r="B11" s="33">
        <v>45922</v>
      </c>
      <c r="C11" s="28" t="s">
        <v>28</v>
      </c>
      <c r="D11" s="29"/>
      <c r="E11" s="55" t="s">
        <v>24</v>
      </c>
      <c r="F11" s="54"/>
    </row>
    <row r="12" spans="1:9" ht="15">
      <c r="A12" s="68" t="s">
        <v>29</v>
      </c>
      <c r="B12" s="33">
        <v>45987</v>
      </c>
      <c r="C12" s="28" t="s">
        <v>30</v>
      </c>
      <c r="D12" s="29"/>
      <c r="E12" s="55" t="s">
        <v>11</v>
      </c>
      <c r="F12" s="54"/>
    </row>
    <row r="13" spans="1:9" ht="15">
      <c r="A13" s="68" t="s">
        <v>31</v>
      </c>
      <c r="B13" s="33">
        <v>46099</v>
      </c>
      <c r="C13" s="28" t="s">
        <v>32</v>
      </c>
      <c r="D13" s="29" t="s">
        <v>33</v>
      </c>
      <c r="E13" s="55" t="s">
        <v>24</v>
      </c>
      <c r="F13" s="54"/>
    </row>
    <row r="17" spans="5:5">
      <c r="E17" s="36"/>
    </row>
    <row r="18" spans="5:5" ht="15">
      <c r="E18" s="90"/>
    </row>
    <row r="19" spans="5:5" ht="15">
      <c r="E19" s="90"/>
    </row>
    <row r="20" spans="5:5">
      <c r="E20" s="36"/>
    </row>
  </sheetData>
  <mergeCells count="1">
    <mergeCell ref="A2:I2"/>
  </mergeCells>
  <hyperlinks>
    <hyperlink ref="D13" r:id="rId1" xr:uid="{64361EF3-32F3-4C14-8F22-56DD4BD3625C}"/>
  </hyperlinks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AC18-34CA-40BA-8E44-D5841CE903F5}">
  <dimension ref="B3:B15"/>
  <sheetViews>
    <sheetView workbookViewId="0">
      <selection activeCell="B12" sqref="B12"/>
    </sheetView>
  </sheetViews>
  <sheetFormatPr defaultColWidth="8.85546875" defaultRowHeight="14.45"/>
  <cols>
    <col min="2" max="2" width="127" customWidth="1"/>
  </cols>
  <sheetData>
    <row r="3" spans="2:2">
      <c r="B3" t="s">
        <v>34</v>
      </c>
    </row>
    <row r="4" spans="2:2">
      <c r="B4" t="s">
        <v>35</v>
      </c>
    </row>
    <row r="5" spans="2:2">
      <c r="B5" t="s">
        <v>36</v>
      </c>
    </row>
    <row r="6" spans="2:2">
      <c r="B6" t="s">
        <v>37</v>
      </c>
    </row>
    <row r="8" spans="2:2" ht="15" thickBot="1"/>
    <row r="9" spans="2:2">
      <c r="B9" s="12" t="s">
        <v>38</v>
      </c>
    </row>
    <row r="10" spans="2:2">
      <c r="B10" s="10" t="s">
        <v>39</v>
      </c>
    </row>
    <row r="11" spans="2:2">
      <c r="B11" s="10"/>
    </row>
    <row r="12" spans="2:2">
      <c r="B12" s="10" t="s">
        <v>40</v>
      </c>
    </row>
    <row r="13" spans="2:2">
      <c r="B13" s="10" t="s">
        <v>41</v>
      </c>
    </row>
    <row r="14" spans="2:2">
      <c r="B14" s="10"/>
    </row>
    <row r="15" spans="2:2" ht="72.599999999999994" thickBot="1">
      <c r="B15" s="11" t="s">
        <v>42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B4B0-B96F-4959-BB3A-E8CF1A03A647}">
  <dimension ref="B1:C10"/>
  <sheetViews>
    <sheetView showGridLines="0" zoomScale="85" zoomScaleNormal="85" workbookViewId="0">
      <selection activeCell="C6" sqref="C6"/>
    </sheetView>
  </sheetViews>
  <sheetFormatPr defaultColWidth="8.85546875" defaultRowHeight="14.45"/>
  <cols>
    <col min="1" max="1" width="6.5703125" customWidth="1"/>
    <col min="2" max="2" width="4.85546875" customWidth="1"/>
    <col min="3" max="3" width="151.42578125" customWidth="1"/>
  </cols>
  <sheetData>
    <row r="1" spans="2:3" ht="21">
      <c r="C1" s="8" t="s">
        <v>43</v>
      </c>
    </row>
    <row r="3" spans="2:3" ht="18">
      <c r="B3" s="7" t="s">
        <v>44</v>
      </c>
      <c r="C3" t="s">
        <v>45</v>
      </c>
    </row>
    <row r="4" spans="2:3" ht="18">
      <c r="B4" s="7" t="s">
        <v>44</v>
      </c>
      <c r="C4" t="s">
        <v>46</v>
      </c>
    </row>
    <row r="5" spans="2:3" ht="18">
      <c r="B5" s="7" t="s">
        <v>44</v>
      </c>
      <c r="C5" t="s">
        <v>47</v>
      </c>
    </row>
    <row r="6" spans="2:3" ht="18">
      <c r="B6" s="7" t="s">
        <v>44</v>
      </c>
      <c r="C6" s="26" t="s">
        <v>48</v>
      </c>
    </row>
    <row r="7" spans="2:3" ht="18">
      <c r="B7" s="7" t="s">
        <v>44</v>
      </c>
      <c r="C7" t="s">
        <v>49</v>
      </c>
    </row>
    <row r="8" spans="2:3" ht="18">
      <c r="B8" s="7" t="s">
        <v>44</v>
      </c>
      <c r="C8" t="s">
        <v>50</v>
      </c>
    </row>
    <row r="9" spans="2:3" ht="18">
      <c r="B9" s="7" t="s">
        <v>44</v>
      </c>
      <c r="C9" t="s">
        <v>51</v>
      </c>
    </row>
    <row r="10" spans="2:3" ht="29.45">
      <c r="B10" s="7" t="s">
        <v>44</v>
      </c>
      <c r="C10" s="5" t="s">
        <v>52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0506-52A2-4B73-BFD6-06CFDA61690E}">
  <dimension ref="A1:N231"/>
  <sheetViews>
    <sheetView showGridLines="0" zoomScale="70" zoomScaleNormal="70" workbookViewId="0">
      <pane ySplit="1" topLeftCell="D35" activePane="bottomLeft" state="frozen"/>
      <selection pane="bottomLeft" activeCell="G47" sqref="G47"/>
    </sheetView>
  </sheetViews>
  <sheetFormatPr defaultColWidth="9.140625" defaultRowHeight="15" customHeight="1"/>
  <cols>
    <col min="1" max="1" width="5.42578125" style="1" customWidth="1"/>
    <col min="2" max="2" width="6.140625" style="4" hidden="1" customWidth="1"/>
    <col min="3" max="3" width="11.140625" style="4" hidden="1" customWidth="1"/>
    <col min="4" max="4" width="38.7109375" style="51" bestFit="1" customWidth="1"/>
    <col min="5" max="5" width="64.42578125" style="4" bestFit="1" customWidth="1"/>
    <col min="6" max="6" width="16.140625" style="4" bestFit="1" customWidth="1"/>
    <col min="7" max="7" width="34.28515625" style="4" bestFit="1" customWidth="1"/>
    <col min="8" max="8" width="16" style="4" bestFit="1" customWidth="1"/>
    <col min="9" max="9" width="12.42578125" style="4" bestFit="1" customWidth="1"/>
    <col min="10" max="10" width="11.5703125" style="4" customWidth="1"/>
    <col min="11" max="11" width="2.5703125" customWidth="1"/>
    <col min="12" max="12" width="24.140625" customWidth="1"/>
    <col min="13" max="13" width="80.28515625" customWidth="1"/>
    <col min="14" max="14" width="28.42578125" customWidth="1"/>
    <col min="15" max="16384" width="9.140625" style="36"/>
  </cols>
  <sheetData>
    <row r="1" spans="1:14" ht="34.35" customHeight="1">
      <c r="A1" s="106" t="s">
        <v>53</v>
      </c>
      <c r="B1" s="106"/>
      <c r="C1" s="106"/>
      <c r="D1" s="106"/>
      <c r="E1" s="106"/>
      <c r="F1" s="106"/>
      <c r="G1" s="106"/>
      <c r="H1" s="14" t="s">
        <v>54</v>
      </c>
      <c r="I1" s="14"/>
      <c r="J1" s="14"/>
      <c r="K1" s="9"/>
      <c r="L1" s="2"/>
      <c r="M1" s="2"/>
      <c r="N1" s="2"/>
    </row>
    <row r="2" spans="1:14" s="37" customFormat="1" ht="28.9">
      <c r="A2" s="3" t="s">
        <v>55</v>
      </c>
      <c r="B2" s="3" t="s">
        <v>56</v>
      </c>
      <c r="C2" s="3" t="s">
        <v>57</v>
      </c>
      <c r="D2" s="49" t="s">
        <v>58</v>
      </c>
      <c r="E2" s="3" t="s">
        <v>59</v>
      </c>
      <c r="F2" s="3" t="s">
        <v>60</v>
      </c>
      <c r="G2" s="3" t="s">
        <v>4</v>
      </c>
      <c r="H2" s="1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</row>
    <row r="3" spans="1:14" s="37" customFormat="1" ht="14.45">
      <c r="A3" s="19">
        <v>1</v>
      </c>
      <c r="B3" s="20"/>
      <c r="C3" s="40" t="str">
        <f t="shared" ref="C3" si="0">IF(B3="person","p_",(IF(B3="organisation","o_",(IF(B3="person/organisation","po_","")))))</f>
        <v/>
      </c>
      <c r="D3" s="50"/>
      <c r="E3" s="43" t="str">
        <f t="shared" ref="E3:E6" si="1">IF(ISBLANK(F3),G3,IF(ISBLANK(K3),_xlfn.CONCAT($H$1,C3,G3,$H$1,": ",,$H$1,D3,$H$1,IF(LEFT(E5,1)="}","",",")),_xlfn.CONCAT($H$1,C3,G3,$H$1,": ",,,D3,,IF(LEFT(E5,1)="}","",","))))</f>
        <v>{</v>
      </c>
      <c r="F3" s="46"/>
      <c r="G3" s="45" t="s">
        <v>68</v>
      </c>
      <c r="H3" s="47"/>
      <c r="I3" s="47"/>
      <c r="J3" s="44"/>
      <c r="K3" s="44"/>
      <c r="L3" s="44"/>
      <c r="M3" s="44"/>
      <c r="N3" s="44"/>
    </row>
    <row r="4" spans="1:14" s="37" customFormat="1">
      <c r="A4" s="19">
        <v>2</v>
      </c>
      <c r="B4" s="20"/>
      <c r="C4" s="40"/>
      <c r="D4" s="50"/>
      <c r="E4" s="43" t="str">
        <f t="shared" si="1"/>
        <v>"businessPartnerData":{</v>
      </c>
      <c r="F4" s="46"/>
      <c r="G4" s="45" t="s">
        <v>69</v>
      </c>
      <c r="H4" s="47"/>
      <c r="I4" s="47"/>
      <c r="J4" s="44"/>
      <c r="K4" s="44"/>
      <c r="L4" s="44"/>
      <c r="M4" s="44"/>
      <c r="N4" s="44"/>
    </row>
    <row r="5" spans="1:14" s="37" customFormat="1">
      <c r="A5" s="19">
        <v>3</v>
      </c>
      <c r="B5" s="20"/>
      <c r="C5" s="40"/>
      <c r="D5" s="50" t="s">
        <v>70</v>
      </c>
      <c r="E5" s="43" t="str">
        <f t="shared" si="1"/>
        <v>"businessPartner": "1000000001",</v>
      </c>
      <c r="F5" s="46" t="s">
        <v>71</v>
      </c>
      <c r="G5" s="45" t="s">
        <v>72</v>
      </c>
      <c r="H5" s="47" t="s">
        <v>73</v>
      </c>
      <c r="I5" s="47">
        <v>10</v>
      </c>
      <c r="J5" s="44"/>
      <c r="K5" s="44"/>
      <c r="L5" s="77" t="s">
        <v>74</v>
      </c>
      <c r="M5" s="78" t="s">
        <v>75</v>
      </c>
      <c r="N5" s="44"/>
    </row>
    <row r="6" spans="1:14" s="37" customFormat="1">
      <c r="A6" s="19">
        <v>4</v>
      </c>
      <c r="B6" s="20"/>
      <c r="C6" s="40"/>
      <c r="D6" s="50"/>
      <c r="E6" s="43" t="str">
        <f t="shared" si="1"/>
        <v>},</v>
      </c>
      <c r="F6" s="46"/>
      <c r="G6" s="45" t="s">
        <v>76</v>
      </c>
      <c r="H6" s="47"/>
      <c r="I6" s="47"/>
      <c r="J6" s="44"/>
      <c r="K6" s="44"/>
      <c r="L6" s="79" t="s">
        <v>74</v>
      </c>
      <c r="M6" s="77" t="s">
        <v>74</v>
      </c>
      <c r="N6" s="44"/>
    </row>
    <row r="7" spans="1:14" s="37" customFormat="1">
      <c r="A7" s="19">
        <v>5</v>
      </c>
      <c r="B7" s="20"/>
      <c r="C7" s="40"/>
      <c r="D7" s="50"/>
      <c r="E7" s="43" t="str">
        <f>IF(ISBLANK(F7),G7,IF(ISBLANK(K7),_xlfn.CONCAT($H$1,C7,G7,$H$1,": ",,$H$1,D7,$H$1,IF(LEFT(E9,1)="}","",",")),_xlfn.CONCAT($H$1,C7,G7,$H$1,": ",,,D7,,IF(LEFT(E9,1)="}","",","))))</f>
        <v>"processControlData":{</v>
      </c>
      <c r="F7" s="46"/>
      <c r="G7" s="45" t="s">
        <v>77</v>
      </c>
      <c r="H7" s="47"/>
      <c r="I7" s="47"/>
      <c r="J7" s="44"/>
      <c r="K7" s="44"/>
      <c r="L7" s="79" t="s">
        <v>74</v>
      </c>
      <c r="M7" s="79" t="s">
        <v>74</v>
      </c>
      <c r="N7" s="44"/>
    </row>
    <row r="8" spans="1:14">
      <c r="A8" s="19">
        <v>6</v>
      </c>
      <c r="B8" s="48"/>
      <c r="C8" s="48"/>
      <c r="D8" s="50" t="s">
        <v>78</v>
      </c>
      <c r="E8" s="43" t="str">
        <f>IF(ISBLANK(F8),G8,IF(ISBLANK(K8),_xlfn.CONCAT($H$1,C8,G8,$H$1,": ",,$H$1,D8,$H$1,IF(LEFT(E10,1)="}","",",")),_xlfn.CONCAT($H$1,C8,G8,$H$1,": ",,,D8,,IF(LEFT(E10,1)="}","",","))))</f>
        <v>"processId": "384d6b5d-9ffe-4105-9927-f73df64d7698",</v>
      </c>
      <c r="F8" s="46" t="s">
        <v>71</v>
      </c>
      <c r="G8" s="45" t="s">
        <v>79</v>
      </c>
      <c r="H8" s="47" t="s">
        <v>80</v>
      </c>
      <c r="I8" s="47">
        <v>36</v>
      </c>
      <c r="J8" s="44"/>
      <c r="K8" s="44"/>
      <c r="L8" s="79" t="s">
        <v>74</v>
      </c>
      <c r="M8" s="79" t="s">
        <v>81</v>
      </c>
      <c r="N8" s="44"/>
    </row>
    <row r="9" spans="1:14">
      <c r="A9" s="19">
        <v>7</v>
      </c>
      <c r="B9" s="22"/>
      <c r="C9" s="41"/>
      <c r="D9" s="50" t="s">
        <v>82</v>
      </c>
      <c r="E9" s="43" t="str">
        <f>IF(ISBLANK(F9),G9,IF(ISBLANK(K9),_xlfn.CONCAT($H$1,C9,G9,$H$1,": ",,$H$1,D9,$H$1,IF(LEFT(E10,1)="}","",",")),_xlfn.CONCAT($H$1,C9,G9,$H$1,": ",,,D9,,IF(LEFT(E10,1)="}","",","))))</f>
        <v>"processTriggerTimestamp": "2024-04-21T18:25:43+2:00",</v>
      </c>
      <c r="F9" s="46" t="s">
        <v>71</v>
      </c>
      <c r="G9" s="45" t="s">
        <v>83</v>
      </c>
      <c r="H9" s="47" t="s">
        <v>84</v>
      </c>
      <c r="I9" s="47">
        <v>20</v>
      </c>
      <c r="J9" s="44"/>
      <c r="K9" s="44"/>
      <c r="L9" s="79" t="s">
        <v>74</v>
      </c>
      <c r="M9" s="79" t="s">
        <v>85</v>
      </c>
      <c r="N9" s="44"/>
    </row>
    <row r="10" spans="1:14">
      <c r="A10" s="19">
        <v>8</v>
      </c>
      <c r="B10" s="21"/>
      <c r="C10" s="40"/>
      <c r="D10" s="76" t="s">
        <v>86</v>
      </c>
      <c r="E10" s="43" t="str">
        <f t="shared" ref="E9:E17" si="2">IF(ISBLANK(F10),G10,IF(ISBLANK(K10),_xlfn.CONCAT($H$1,C10,G10,$H$1,": ",,$H$1,D10,$H$1,IF(LEFT(E11,1)="}","",",")),_xlfn.CONCAT($H$1,C10,G10,$H$1,": ",,,D10,,IF(LEFT(E11,1)="}","",","))))</f>
        <v>"processSource": "evn.at",</v>
      </c>
      <c r="F10" s="46" t="s">
        <v>71</v>
      </c>
      <c r="G10" s="45" t="s">
        <v>87</v>
      </c>
      <c r="H10" s="47" t="s">
        <v>73</v>
      </c>
      <c r="I10" s="47">
        <v>20</v>
      </c>
      <c r="J10" s="44"/>
      <c r="K10" s="44"/>
      <c r="L10" s="79" t="s">
        <v>74</v>
      </c>
      <c r="M10" s="79" t="s">
        <v>88</v>
      </c>
      <c r="N10" s="44"/>
    </row>
    <row r="11" spans="1:14">
      <c r="A11" s="19">
        <v>9</v>
      </c>
      <c r="B11" s="21"/>
      <c r="C11" s="40" t="str">
        <f t="shared" ref="C11:C25" si="3">IF(B11="person","p_",(IF(B11="organisation","o_",(IF(B11="person/organisation","po_","")))))</f>
        <v/>
      </c>
      <c r="D11" s="50" t="s">
        <v>89</v>
      </c>
      <c r="E11" s="43" t="str">
        <f t="shared" si="2"/>
        <v>"processDate": "2025-01-14"</v>
      </c>
      <c r="F11" s="46" t="s">
        <v>90</v>
      </c>
      <c r="G11" s="45" t="s">
        <v>91</v>
      </c>
      <c r="H11" s="47" t="s">
        <v>92</v>
      </c>
      <c r="I11" s="47">
        <v>10</v>
      </c>
      <c r="J11" s="44"/>
      <c r="K11" s="44"/>
      <c r="L11" s="79" t="s">
        <v>74</v>
      </c>
      <c r="M11" s="79" t="s">
        <v>93</v>
      </c>
      <c r="N11" s="44"/>
    </row>
    <row r="12" spans="1:14" s="38" customFormat="1">
      <c r="A12" s="19">
        <v>10</v>
      </c>
      <c r="B12" s="23"/>
      <c r="C12" s="35"/>
      <c r="D12" s="50"/>
      <c r="E12" s="43" t="str">
        <f t="shared" si="2"/>
        <v>},</v>
      </c>
      <c r="F12" s="46"/>
      <c r="G12" s="45" t="s">
        <v>76</v>
      </c>
      <c r="H12" s="47"/>
      <c r="I12" s="47"/>
      <c r="J12" s="44"/>
      <c r="K12" s="44"/>
      <c r="L12" s="79" t="s">
        <v>74</v>
      </c>
      <c r="M12" s="79" t="s">
        <v>74</v>
      </c>
      <c r="N12" s="44"/>
    </row>
    <row r="13" spans="1:14">
      <c r="A13" s="19">
        <v>11</v>
      </c>
      <c r="B13" s="21"/>
      <c r="C13" s="40" t="str">
        <f t="shared" si="3"/>
        <v/>
      </c>
      <c r="D13" s="50"/>
      <c r="E13" s="43" t="str">
        <f t="shared" si="2"/>
        <v>"meteringPointData":{</v>
      </c>
      <c r="F13" s="46"/>
      <c r="G13" s="45" t="s">
        <v>94</v>
      </c>
      <c r="H13" s="47"/>
      <c r="I13" s="47"/>
      <c r="J13" s="44"/>
      <c r="K13" s="44"/>
      <c r="L13" s="79" t="s">
        <v>74</v>
      </c>
      <c r="M13" s="79" t="s">
        <v>74</v>
      </c>
      <c r="N13" s="44"/>
    </row>
    <row r="14" spans="1:14">
      <c r="A14" s="19">
        <v>12</v>
      </c>
      <c r="B14" s="21"/>
      <c r="C14" s="40"/>
      <c r="D14" s="50" t="s">
        <v>95</v>
      </c>
      <c r="E14" s="43" t="str">
        <f t="shared" si="2"/>
        <v>"meteringPoint": "AT0020000000000000000000020000299",</v>
      </c>
      <c r="F14" s="46" t="s">
        <v>71</v>
      </c>
      <c r="G14" s="45" t="s">
        <v>96</v>
      </c>
      <c r="H14" s="47" t="s">
        <v>73</v>
      </c>
      <c r="I14" s="47">
        <v>33</v>
      </c>
      <c r="J14" s="44"/>
      <c r="K14" s="44"/>
      <c r="L14" s="79" t="s">
        <v>74</v>
      </c>
      <c r="M14" s="78" t="s">
        <v>97</v>
      </c>
      <c r="N14" s="44"/>
    </row>
    <row r="15" spans="1:14">
      <c r="A15" s="19">
        <v>13</v>
      </c>
      <c r="B15" s="21"/>
      <c r="C15" s="40"/>
      <c r="D15" s="50" t="s">
        <v>98</v>
      </c>
      <c r="E15" s="43" t="str">
        <f t="shared" si="2"/>
        <v>"meteringPointCRMGuid": "cf87f85e-034f-ef11-bfe2-000d3a20680b"</v>
      </c>
      <c r="F15" s="46" t="s">
        <v>71</v>
      </c>
      <c r="G15" s="45" t="s">
        <v>99</v>
      </c>
      <c r="H15" s="47" t="s">
        <v>80</v>
      </c>
      <c r="I15" s="47">
        <v>36</v>
      </c>
      <c r="J15" s="44"/>
      <c r="K15" s="44"/>
      <c r="L15" s="79" t="s">
        <v>74</v>
      </c>
      <c r="M15" s="80" t="s">
        <v>100</v>
      </c>
      <c r="N15" s="44"/>
    </row>
    <row r="16" spans="1:14" ht="14.25" customHeight="1">
      <c r="A16" s="19">
        <v>14</v>
      </c>
      <c r="B16" s="21"/>
      <c r="C16" s="40" t="str">
        <f t="shared" si="3"/>
        <v/>
      </c>
      <c r="D16" s="50"/>
      <c r="E16" s="43" t="str">
        <f t="shared" si="2"/>
        <v>},</v>
      </c>
      <c r="F16" s="46"/>
      <c r="G16" s="45" t="s">
        <v>76</v>
      </c>
      <c r="H16" s="47"/>
      <c r="I16" s="47"/>
      <c r="J16" s="44"/>
      <c r="K16" s="44"/>
      <c r="L16" s="79" t="s">
        <v>74</v>
      </c>
      <c r="M16" s="77" t="s">
        <v>74</v>
      </c>
      <c r="N16" s="44"/>
    </row>
    <row r="17" spans="1:14">
      <c r="A17" s="19">
        <v>15</v>
      </c>
      <c r="B17" s="21"/>
      <c r="C17" s="40" t="str">
        <f t="shared" si="3"/>
        <v/>
      </c>
      <c r="D17" s="92"/>
      <c r="E17" s="43" t="str">
        <f t="shared" si="2"/>
        <v>"cmiData":{</v>
      </c>
      <c r="F17" s="46"/>
      <c r="G17" s="45" t="s">
        <v>101</v>
      </c>
      <c r="H17" s="47"/>
      <c r="I17" s="47"/>
      <c r="J17" s="96"/>
      <c r="K17" s="44"/>
      <c r="L17" s="79" t="s">
        <v>74</v>
      </c>
      <c r="M17" s="97" t="s">
        <v>102</v>
      </c>
      <c r="N17" s="91" t="s">
        <v>103</v>
      </c>
    </row>
    <row r="18" spans="1:14">
      <c r="A18" s="19">
        <v>16</v>
      </c>
      <c r="B18" s="21"/>
      <c r="C18" s="40" t="str">
        <f t="shared" si="3"/>
        <v/>
      </c>
      <c r="D18" s="92" t="s">
        <v>89</v>
      </c>
      <c r="E18" s="43" t="str">
        <f>IF(ISBLANK(F18),G18,IF(ISBLANK(K18),_xlfn.CONCAT($H$1,C18,G18,$H$1,": ",,$H$1,D18,$H$1,IF(LEFT(E21,1)="}","",",")),_xlfn.CONCAT($H$1,C18,G18,$H$1,": ",,,D18,,IF(LEFT(E21,1)="}","",","))))</f>
        <v>"plannedChangeDate": "2025-01-14",</v>
      </c>
      <c r="F18" s="46" t="s">
        <v>71</v>
      </c>
      <c r="G18" s="45" t="s">
        <v>104</v>
      </c>
      <c r="H18" s="47" t="s">
        <v>92</v>
      </c>
      <c r="I18" s="47">
        <v>10</v>
      </c>
      <c r="J18" s="96"/>
      <c r="K18" s="44"/>
      <c r="L18" s="79" t="s">
        <v>74</v>
      </c>
      <c r="M18" s="79" t="s">
        <v>74</v>
      </c>
    </row>
    <row r="19" spans="1:14">
      <c r="A19" s="19">
        <v>17</v>
      </c>
      <c r="B19" s="21"/>
      <c r="C19" s="40"/>
      <c r="D19" s="92" t="s">
        <v>105</v>
      </c>
      <c r="E19" s="43" t="str">
        <f>IF(ISBLANK(F19),G19,IF(ISBLANK(K19),_xlfn.CONCAT($H$1,C19,G19,$H$1,": ",,$H$1,D19,$H$1,IF(LEFT(E21,1)="}","",",")),_xlfn.CONCAT($H$1,C19,G19,$H$1,": ",,,D19,,IF(LEFT(E21,1)="}","",","))))</f>
        <v>"periodiciy": "D",</v>
      </c>
      <c r="F19" s="46" t="s">
        <v>71</v>
      </c>
      <c r="G19" s="45" t="s">
        <v>106</v>
      </c>
      <c r="H19" s="47" t="s">
        <v>73</v>
      </c>
      <c r="I19" s="47">
        <v>1</v>
      </c>
      <c r="J19" s="96"/>
      <c r="K19" s="44"/>
      <c r="L19" s="79" t="s">
        <v>74</v>
      </c>
      <c r="M19" s="79" t="s">
        <v>74</v>
      </c>
      <c r="N19" s="44"/>
    </row>
    <row r="20" spans="1:14">
      <c r="A20" s="19">
        <v>18</v>
      </c>
      <c r="B20" s="21"/>
      <c r="C20" s="40"/>
      <c r="D20" s="92" t="s">
        <v>107</v>
      </c>
      <c r="E20" s="43" t="str">
        <f t="shared" ref="E20:E69" si="4">IF(ISBLANK(F20),G20,IF(ISBLANK(K20),_xlfn.CONCAT($H$1,C20,G20,$H$1,": ",,$H$1,D20,$H$1,IF(LEFT(E21,1)="}","",",")),_xlfn.CONCAT($H$1,C20,G20,$H$1,": ",,,D20,,IF(LEFT(E21,1)="}","",","))))</f>
        <v>"granularity": "QH",</v>
      </c>
      <c r="F20" s="46" t="s">
        <v>71</v>
      </c>
      <c r="G20" s="45" t="s">
        <v>108</v>
      </c>
      <c r="H20" s="47" t="s">
        <v>73</v>
      </c>
      <c r="I20" s="47">
        <v>2</v>
      </c>
      <c r="J20" s="96"/>
      <c r="K20" s="44"/>
      <c r="L20" s="79" t="s">
        <v>74</v>
      </c>
      <c r="M20" s="79" t="s">
        <v>74</v>
      </c>
      <c r="N20" s="44"/>
    </row>
    <row r="21" spans="1:14">
      <c r="A21" s="19">
        <v>19</v>
      </c>
      <c r="B21" s="24"/>
      <c r="C21" s="40" t="str">
        <f t="shared" si="3"/>
        <v/>
      </c>
      <c r="D21" s="92" t="s">
        <v>109</v>
      </c>
      <c r="E21" s="43" t="str">
        <f t="shared" si="4"/>
        <v>"powerOfAttorneyId": "5000000000",</v>
      </c>
      <c r="F21" s="46" t="s">
        <v>90</v>
      </c>
      <c r="G21" s="45" t="s">
        <v>110</v>
      </c>
      <c r="H21" s="47" t="s">
        <v>73</v>
      </c>
      <c r="I21" s="47">
        <v>30</v>
      </c>
      <c r="J21" s="96"/>
      <c r="K21" s="44"/>
      <c r="L21" s="79" t="s">
        <v>74</v>
      </c>
      <c r="M21" s="79" t="s">
        <v>74</v>
      </c>
      <c r="N21" s="44"/>
    </row>
    <row r="22" spans="1:14">
      <c r="A22" s="19">
        <v>20</v>
      </c>
      <c r="B22" s="24"/>
      <c r="C22" s="40"/>
      <c r="D22" s="92" t="s">
        <v>111</v>
      </c>
      <c r="E22" s="43" t="str">
        <f>IF(ISBLANK(F22),G22,IF(ISBLANK(K22),_xlfn.CONCAT($H$1,C22,G22,$H$1,": ",,$H$1,D22,$H$1,IF(LEFT(E23,1)="}","",",")),_xlfn.CONCAT($H$1,C22,G22,$H$1,": ",,,D22,,IF(LEFT(E23,1)="}","",","))))</f>
        <v>"eMailAddress": "erikamustermann@email.com"</v>
      </c>
      <c r="F22" s="46" t="s">
        <v>90</v>
      </c>
      <c r="G22" s="45" t="s">
        <v>112</v>
      </c>
      <c r="H22" s="47" t="s">
        <v>73</v>
      </c>
      <c r="I22" s="47">
        <v>120</v>
      </c>
      <c r="J22" s="96"/>
      <c r="K22" s="44"/>
      <c r="L22" s="79" t="s">
        <v>74</v>
      </c>
      <c r="M22" s="79" t="s">
        <v>74</v>
      </c>
      <c r="N22" s="44"/>
    </row>
    <row r="23" spans="1:14">
      <c r="A23" s="19">
        <v>21</v>
      </c>
      <c r="B23" s="21"/>
      <c r="C23" s="40" t="str">
        <f t="shared" si="3"/>
        <v/>
      </c>
      <c r="D23" s="92"/>
      <c r="E23" s="43" t="str">
        <f t="shared" si="4"/>
        <v>},</v>
      </c>
      <c r="F23" s="46"/>
      <c r="G23" s="45" t="s">
        <v>76</v>
      </c>
      <c r="H23" s="47"/>
      <c r="I23" s="47"/>
      <c r="J23" s="96"/>
      <c r="K23" s="44"/>
      <c r="L23" s="79" t="s">
        <v>74</v>
      </c>
      <c r="M23" s="79" t="s">
        <v>74</v>
      </c>
      <c r="N23" s="44"/>
    </row>
    <row r="24" spans="1:14">
      <c r="A24" s="19">
        <v>22</v>
      </c>
      <c r="B24" s="23"/>
      <c r="C24" s="35"/>
      <c r="D24" s="92"/>
      <c r="E24" s="43" t="str">
        <f t="shared" si="4"/>
        <v>"cbcData":{</v>
      </c>
      <c r="F24" s="46"/>
      <c r="G24" s="45" t="s">
        <v>113</v>
      </c>
      <c r="H24" s="47"/>
      <c r="I24" s="47"/>
      <c r="J24" s="44"/>
      <c r="K24" s="44"/>
      <c r="L24" s="79" t="s">
        <v>74</v>
      </c>
      <c r="M24" s="97" t="s">
        <v>102</v>
      </c>
      <c r="N24" s="91" t="s">
        <v>103</v>
      </c>
    </row>
    <row r="25" spans="1:14">
      <c r="A25" s="19">
        <v>23</v>
      </c>
      <c r="B25" s="21"/>
      <c r="C25" s="40" t="str">
        <f t="shared" si="3"/>
        <v/>
      </c>
      <c r="D25" s="92" t="s">
        <v>89</v>
      </c>
      <c r="E25" s="43" t="str">
        <f t="shared" si="4"/>
        <v>"plannedChangeDate": "2025-01-14",</v>
      </c>
      <c r="F25" s="46" t="s">
        <v>71</v>
      </c>
      <c r="G25" s="45" t="s">
        <v>104</v>
      </c>
      <c r="H25" s="47" t="s">
        <v>92</v>
      </c>
      <c r="I25" s="47">
        <v>10</v>
      </c>
      <c r="J25" s="44"/>
      <c r="K25" s="44"/>
      <c r="L25" s="79" t="s">
        <v>74</v>
      </c>
      <c r="M25" s="79" t="s">
        <v>114</v>
      </c>
      <c r="N25" s="44" t="s">
        <v>115</v>
      </c>
    </row>
    <row r="26" spans="1:14">
      <c r="A26" s="19">
        <v>24</v>
      </c>
      <c r="B26" s="21"/>
      <c r="C26" s="40"/>
      <c r="D26" s="92" t="s">
        <v>116</v>
      </c>
      <c r="E26" s="43" t="str">
        <f>IF(ISBLANK(F26),G26,IF(ISBLANK(K26),_xlfn.CONCAT($H$1,C26,G26,$H$1,": ",,$H$1,D26,$H$1,IF(LEFT(E27,1)="}","",",")),_xlfn.CONCAT($H$1,C26,G26,$H$1,": ",,,D26,,IF(LEFT(E27,1)="}","",","))))</f>
        <v>"consumptionBillingCycle": "01"</v>
      </c>
      <c r="F26" s="46" t="s">
        <v>71</v>
      </c>
      <c r="G26" s="45" t="s">
        <v>117</v>
      </c>
      <c r="H26" s="47" t="s">
        <v>73</v>
      </c>
      <c r="I26" s="47">
        <v>2</v>
      </c>
      <c r="J26" s="44"/>
      <c r="K26" s="44"/>
      <c r="L26" s="79" t="s">
        <v>74</v>
      </c>
      <c r="M26" s="78" t="s">
        <v>118</v>
      </c>
      <c r="N26" s="44" t="s">
        <v>115</v>
      </c>
    </row>
    <row r="27" spans="1:14">
      <c r="A27" s="19">
        <v>25</v>
      </c>
      <c r="B27" s="21"/>
      <c r="C27" s="40"/>
      <c r="D27" s="92"/>
      <c r="E27" s="43" t="str">
        <f t="shared" si="4"/>
        <v>},</v>
      </c>
      <c r="F27" s="93"/>
      <c r="G27" s="94" t="s">
        <v>76</v>
      </c>
      <c r="H27" s="95"/>
      <c r="I27" s="95"/>
      <c r="J27" s="44"/>
      <c r="K27" s="44"/>
      <c r="L27" s="79" t="s">
        <v>74</v>
      </c>
      <c r="M27" s="77" t="s">
        <v>74</v>
      </c>
      <c r="N27" s="44"/>
    </row>
    <row r="28" spans="1:14">
      <c r="A28" s="19">
        <v>26</v>
      </c>
      <c r="B28" s="21"/>
      <c r="C28" s="40"/>
      <c r="D28" s="50"/>
      <c r="E28" s="43" t="str">
        <f t="shared" si="4"/>
        <v>"rateChangeData":{</v>
      </c>
      <c r="F28" s="46"/>
      <c r="G28" s="45" t="s">
        <v>119</v>
      </c>
      <c r="H28" s="47"/>
      <c r="I28" s="47"/>
      <c r="J28" s="44"/>
      <c r="K28" s="44"/>
      <c r="L28" s="79" t="s">
        <v>74</v>
      </c>
      <c r="M28" s="79" t="s">
        <v>74</v>
      </c>
      <c r="N28" s="44"/>
    </row>
    <row r="29" spans="1:14">
      <c r="A29" s="19">
        <v>27</v>
      </c>
      <c r="B29" s="21"/>
      <c r="C29" s="40"/>
      <c r="D29" s="50" t="s">
        <v>120</v>
      </c>
      <c r="E29" s="43" t="str">
        <f t="shared" si="4"/>
        <v>"quotePositionCRMGuid": "4decd5e6-0b0c-44d6-a16a-5978f7191da1",</v>
      </c>
      <c r="F29" s="46" t="s">
        <v>71</v>
      </c>
      <c r="G29" s="45" t="s">
        <v>121</v>
      </c>
      <c r="H29" s="47" t="s">
        <v>80</v>
      </c>
      <c r="I29" s="47">
        <v>36</v>
      </c>
      <c r="J29" s="44"/>
      <c r="K29" s="44"/>
      <c r="L29" s="79" t="s">
        <v>74</v>
      </c>
      <c r="M29" s="78" t="s">
        <v>122</v>
      </c>
      <c r="N29" s="44"/>
    </row>
    <row r="30" spans="1:14">
      <c r="A30" s="19">
        <v>28</v>
      </c>
      <c r="B30" s="21"/>
      <c r="C30" s="40"/>
      <c r="D30" s="50" t="s">
        <v>123</v>
      </c>
      <c r="E30" s="43" t="str">
        <f t="shared" si="4"/>
        <v>"quoteCRMGuid": "2c7ce7fd-60e3-4785-97ff-11d6365342d4",</v>
      </c>
      <c r="F30" s="46" t="s">
        <v>71</v>
      </c>
      <c r="G30" s="45" t="s">
        <v>124</v>
      </c>
      <c r="H30" s="47" t="s">
        <v>80</v>
      </c>
      <c r="I30" s="47">
        <v>36</v>
      </c>
      <c r="J30" s="44"/>
      <c r="K30" s="44"/>
      <c r="L30" s="79" t="s">
        <v>74</v>
      </c>
      <c r="M30" s="81" t="s">
        <v>125</v>
      </c>
      <c r="N30" s="44"/>
    </row>
    <row r="31" spans="1:14" ht="76.5">
      <c r="A31" s="19">
        <v>29</v>
      </c>
      <c r="B31" s="21"/>
      <c r="C31" s="40"/>
      <c r="D31" s="50" t="s">
        <v>126</v>
      </c>
      <c r="E31" s="43" t="str">
        <f t="shared" si="4"/>
        <v>"ppoPricingId": "ID12334563",</v>
      </c>
      <c r="F31" s="46" t="s">
        <v>71</v>
      </c>
      <c r="G31" s="45" t="s">
        <v>127</v>
      </c>
      <c r="H31" s="47" t="s">
        <v>73</v>
      </c>
      <c r="I31" s="47">
        <v>12</v>
      </c>
      <c r="J31" s="44"/>
      <c r="K31" s="44"/>
      <c r="L31" s="79" t="s">
        <v>74</v>
      </c>
      <c r="M31" s="82" t="s">
        <v>128</v>
      </c>
      <c r="N31" s="44"/>
    </row>
    <row r="32" spans="1:14">
      <c r="A32" s="19">
        <v>30</v>
      </c>
      <c r="B32" s="21"/>
      <c r="C32" s="40"/>
      <c r="D32" s="50" t="s">
        <v>129</v>
      </c>
      <c r="E32" s="43" t="str">
        <f t="shared" si="4"/>
        <v>"ppoProductId": "SB0003",</v>
      </c>
      <c r="F32" s="46" t="s">
        <v>71</v>
      </c>
      <c r="G32" s="45" t="s">
        <v>130</v>
      </c>
      <c r="H32" s="47" t="s">
        <v>73</v>
      </c>
      <c r="I32" s="47">
        <v>12</v>
      </c>
      <c r="J32" s="44"/>
      <c r="K32" s="44"/>
      <c r="L32" s="79" t="s">
        <v>74</v>
      </c>
      <c r="M32" s="83" t="s">
        <v>131</v>
      </c>
      <c r="N32" s="44"/>
    </row>
    <row r="33" spans="1:14">
      <c r="A33" s="19">
        <v>31</v>
      </c>
      <c r="B33" s="21"/>
      <c r="C33" s="40"/>
      <c r="D33" s="71" t="s">
        <v>132</v>
      </c>
      <c r="E33" s="72" t="str">
        <f t="shared" si="4"/>
        <v>"ppoProductVariant": "some text",</v>
      </c>
      <c r="F33" s="73" t="s">
        <v>71</v>
      </c>
      <c r="G33" s="74" t="s">
        <v>133</v>
      </c>
      <c r="H33" s="75" t="s">
        <v>73</v>
      </c>
      <c r="I33" s="75">
        <v>40</v>
      </c>
      <c r="J33" s="44"/>
      <c r="K33" s="44"/>
      <c r="L33" s="79" t="s">
        <v>74</v>
      </c>
      <c r="M33" s="84" t="s">
        <v>134</v>
      </c>
      <c r="N33" s="44"/>
    </row>
    <row r="34" spans="1:14" s="39" customFormat="1">
      <c r="A34" s="19">
        <v>32</v>
      </c>
      <c r="B34" s="25"/>
      <c r="C34" s="42"/>
      <c r="D34" s="71" t="s">
        <v>132</v>
      </c>
      <c r="E34" s="72" t="str">
        <f t="shared" si="4"/>
        <v>"ppoSalesArea": "some text",</v>
      </c>
      <c r="F34" s="73" t="s">
        <v>71</v>
      </c>
      <c r="G34" s="74" t="s">
        <v>135</v>
      </c>
      <c r="H34" s="75" t="s">
        <v>73</v>
      </c>
      <c r="I34" s="75">
        <v>12</v>
      </c>
      <c r="J34" s="44"/>
      <c r="K34" s="44"/>
      <c r="L34" s="79" t="s">
        <v>74</v>
      </c>
      <c r="M34" s="85" t="s">
        <v>136</v>
      </c>
      <c r="N34" s="44"/>
    </row>
    <row r="35" spans="1:14">
      <c r="A35" s="19">
        <v>33</v>
      </c>
      <c r="D35" s="50" t="s">
        <v>89</v>
      </c>
      <c r="E35" s="43" t="str">
        <f t="shared" si="4"/>
        <v>"ppoContractBeginDate": "2025-01-14",</v>
      </c>
      <c r="F35" s="46" t="s">
        <v>71</v>
      </c>
      <c r="G35" s="45" t="s">
        <v>137</v>
      </c>
      <c r="H35" s="47" t="s">
        <v>92</v>
      </c>
      <c r="I35" s="47">
        <v>10</v>
      </c>
      <c r="J35" s="44"/>
      <c r="K35" s="44"/>
      <c r="L35" s="79" t="s">
        <v>74</v>
      </c>
      <c r="M35" s="81" t="s">
        <v>114</v>
      </c>
      <c r="N35" s="44"/>
    </row>
    <row r="36" spans="1:14">
      <c r="A36" s="19">
        <v>34</v>
      </c>
      <c r="B36" s="23"/>
      <c r="C36" s="35"/>
      <c r="D36" s="50" t="s">
        <v>89</v>
      </c>
      <c r="E36" s="43" t="str">
        <f>IF(ISBLANK(F36),G36,IF(ISBLANK(K36),_xlfn.CONCAT($H$1,C36,G36,$H$1,": ",,$H$1,D36,$H$1,IF(LEFT(E37,1)="}","",",")),_xlfn.CONCAT($H$1,C36,G36,$H$1,": ",,,D36,,IF(LEFT(E37,1)="}","",","))))</f>
        <v>"ppoContractEndDate": "2025-01-14",</v>
      </c>
      <c r="F36" s="70" t="s">
        <v>90</v>
      </c>
      <c r="G36" s="45" t="s">
        <v>138</v>
      </c>
      <c r="H36" s="47" t="s">
        <v>92</v>
      </c>
      <c r="I36" s="47">
        <v>10</v>
      </c>
      <c r="J36" s="44"/>
      <c r="K36" s="44"/>
      <c r="L36" s="79" t="s">
        <v>74</v>
      </c>
      <c r="M36" s="81" t="s">
        <v>139</v>
      </c>
      <c r="N36" s="44"/>
    </row>
    <row r="37" spans="1:14">
      <c r="A37" s="19">
        <v>35</v>
      </c>
      <c r="D37" s="71" t="s">
        <v>132</v>
      </c>
      <c r="E37" s="72" t="str">
        <f>IF(ISBLANK(F37),G37,IF(ISBLANK(K37),_xlfn.CONCAT($H$1,C37,G37,$H$1,": ",,$H$1,D37,$H$1,IF(LEFT(E38,1)="}","",",")),_xlfn.CONCAT($H$1,C37,G37,$H$1,": ",,,D37,,IF(LEFT(E38,1)="}","",","))))</f>
        <v>"ppoPriceSheet": "some text",</v>
      </c>
      <c r="F37" s="73" t="s">
        <v>71</v>
      </c>
      <c r="G37" s="74" t="s">
        <v>140</v>
      </c>
      <c r="H37" s="75" t="s">
        <v>73</v>
      </c>
      <c r="I37" s="75"/>
      <c r="J37" s="44"/>
      <c r="K37" s="44"/>
      <c r="L37" s="79" t="s">
        <v>74</v>
      </c>
      <c r="M37" s="85" t="s">
        <v>141</v>
      </c>
      <c r="N37" s="44"/>
    </row>
    <row r="38" spans="1:14">
      <c r="A38" s="19">
        <v>36</v>
      </c>
      <c r="D38" s="50" t="s">
        <v>89</v>
      </c>
      <c r="E38" s="43" t="str">
        <f>IF(ISBLANK(F38),G38,IF(ISBLANK(K38),_xlfn.CONCAT($H$1,C38,G38,$H$1,": ",,$H$1,D38,$H$1,IF(LEFT(E39,1)="}","",",")),_xlfn.CONCAT($H$1,C38,G38,$H$1,": ",,,D38,,IF(LEFT(E39,1)="}","",","))))</f>
        <v>"contractConclusionDate": "2025-01-14",</v>
      </c>
      <c r="F38" s="46" t="s">
        <v>71</v>
      </c>
      <c r="G38" s="45" t="s">
        <v>142</v>
      </c>
      <c r="H38" s="47" t="s">
        <v>92</v>
      </c>
      <c r="I38" s="47">
        <v>10</v>
      </c>
      <c r="J38" s="44"/>
      <c r="K38" s="44"/>
      <c r="L38" s="79" t="s">
        <v>74</v>
      </c>
      <c r="M38" s="77" t="s">
        <v>143</v>
      </c>
      <c r="N38" s="44"/>
    </row>
    <row r="39" spans="1:14">
      <c r="A39" s="19">
        <v>37</v>
      </c>
      <c r="B39" s="23"/>
      <c r="C39" s="35"/>
      <c r="D39" s="50" t="s">
        <v>144</v>
      </c>
      <c r="E39" s="43" t="str">
        <f>IF(ISBLANK(F39),G39,IF(ISBLANK(K39),_xlfn.CONCAT($H$1,C39,G39,$H$1,": ",,$H$1,D39,$H$1,IF(LEFT(E40,1)="}","",",")),_xlfn.CONCAT($H$1,C39,G39,$H$1,": ",,,D39,,IF(LEFT(E40,1)="}","",","))))</f>
        <v>"discountEnergyPricePercent": "20",</v>
      </c>
      <c r="F39" s="46" t="s">
        <v>90</v>
      </c>
      <c r="G39" s="45" t="s">
        <v>145</v>
      </c>
      <c r="H39" s="47" t="s">
        <v>73</v>
      </c>
      <c r="I39" s="47">
        <v>3</v>
      </c>
      <c r="J39" s="44"/>
      <c r="K39" s="44"/>
      <c r="L39" s="79" t="s">
        <v>74</v>
      </c>
      <c r="M39" s="78" t="s">
        <v>146</v>
      </c>
      <c r="N39" s="44"/>
    </row>
    <row r="40" spans="1:14" ht="15" customHeight="1">
      <c r="A40" s="19">
        <v>38</v>
      </c>
      <c r="D40" s="50" t="s">
        <v>89</v>
      </c>
      <c r="E40" s="43" t="str">
        <f t="shared" si="4"/>
        <v>"discountEnergyPriceValidFrom": "2025-01-14",</v>
      </c>
      <c r="F40" s="46" t="s">
        <v>90</v>
      </c>
      <c r="G40" s="45" t="s">
        <v>147</v>
      </c>
      <c r="H40" s="47" t="s">
        <v>92</v>
      </c>
      <c r="I40" s="47">
        <v>10</v>
      </c>
      <c r="J40" s="44"/>
      <c r="K40" s="44"/>
      <c r="L40" s="79" t="s">
        <v>74</v>
      </c>
      <c r="M40" s="81" t="s">
        <v>148</v>
      </c>
      <c r="N40" s="44"/>
    </row>
    <row r="41" spans="1:14" ht="15" customHeight="1">
      <c r="A41" s="19">
        <v>39</v>
      </c>
      <c r="D41" s="50" t="s">
        <v>89</v>
      </c>
      <c r="E41" s="43" t="str">
        <f t="shared" si="4"/>
        <v>"discountEnergyPriceValidTo": "2025-01-14",</v>
      </c>
      <c r="F41" s="46" t="s">
        <v>90</v>
      </c>
      <c r="G41" s="45" t="s">
        <v>149</v>
      </c>
      <c r="H41" s="47" t="s">
        <v>92</v>
      </c>
      <c r="I41" s="47">
        <v>10</v>
      </c>
      <c r="J41" s="44"/>
      <c r="K41" s="44"/>
      <c r="L41" s="79" t="s">
        <v>74</v>
      </c>
      <c r="M41" s="81" t="s">
        <v>150</v>
      </c>
      <c r="N41" s="44"/>
    </row>
    <row r="42" spans="1:14" ht="15" customHeight="1">
      <c r="A42" s="19">
        <v>40</v>
      </c>
      <c r="D42" s="50" t="s">
        <v>144</v>
      </c>
      <c r="E42" s="43" t="str">
        <f t="shared" si="4"/>
        <v>"discountBasicPricePercent": "20",</v>
      </c>
      <c r="F42" s="46" t="s">
        <v>90</v>
      </c>
      <c r="G42" s="45" t="s">
        <v>151</v>
      </c>
      <c r="H42" s="47" t="s">
        <v>73</v>
      </c>
      <c r="I42" s="47">
        <v>3</v>
      </c>
      <c r="J42" s="44"/>
      <c r="K42" s="44"/>
      <c r="L42" s="79" t="s">
        <v>74</v>
      </c>
      <c r="M42" s="81" t="s">
        <v>152</v>
      </c>
      <c r="N42" s="44"/>
    </row>
    <row r="43" spans="1:14" ht="15" customHeight="1">
      <c r="A43" s="19">
        <v>41</v>
      </c>
      <c r="D43" s="50" t="s">
        <v>89</v>
      </c>
      <c r="E43" s="43" t="str">
        <f t="shared" si="4"/>
        <v>"discountBasicPriceValidFrom": "2025-01-14",</v>
      </c>
      <c r="F43" s="46" t="s">
        <v>90</v>
      </c>
      <c r="G43" s="45" t="s">
        <v>153</v>
      </c>
      <c r="H43" s="47" t="s">
        <v>92</v>
      </c>
      <c r="I43" s="47">
        <v>10</v>
      </c>
      <c r="J43" s="44"/>
      <c r="K43" s="44"/>
      <c r="L43" s="79" t="s">
        <v>74</v>
      </c>
      <c r="M43" s="81" t="s">
        <v>154</v>
      </c>
      <c r="N43" s="44"/>
    </row>
    <row r="44" spans="1:14" ht="15" customHeight="1">
      <c r="A44" s="19">
        <v>42</v>
      </c>
      <c r="D44" s="50" t="s">
        <v>89</v>
      </c>
      <c r="E44" s="43" t="str">
        <f t="shared" si="4"/>
        <v>"discountBasicPriceValidTo": "2025-01-14"</v>
      </c>
      <c r="F44" s="46" t="s">
        <v>90</v>
      </c>
      <c r="G44" s="45" t="s">
        <v>155</v>
      </c>
      <c r="H44" s="47" t="s">
        <v>92</v>
      </c>
      <c r="I44" s="47">
        <v>10</v>
      </c>
      <c r="J44" s="44"/>
      <c r="K44" s="44"/>
      <c r="L44" s="79" t="s">
        <v>74</v>
      </c>
      <c r="M44" s="81" t="s">
        <v>156</v>
      </c>
      <c r="N44" s="44"/>
    </row>
    <row r="45" spans="1:14" ht="15" customHeight="1">
      <c r="A45" s="19">
        <v>43</v>
      </c>
      <c r="D45" s="50"/>
      <c r="E45" s="43" t="str">
        <f t="shared" si="4"/>
        <v>},</v>
      </c>
      <c r="F45" s="46"/>
      <c r="G45" s="45" t="s">
        <v>76</v>
      </c>
      <c r="H45" s="47"/>
      <c r="I45" s="47"/>
      <c r="J45" s="44"/>
      <c r="K45" s="44"/>
      <c r="L45" s="79" t="s">
        <v>74</v>
      </c>
      <c r="M45" s="77" t="s">
        <v>74</v>
      </c>
      <c r="N45" s="44"/>
    </row>
    <row r="46" spans="1:14" ht="15" customHeight="1">
      <c r="A46" s="19">
        <v>44</v>
      </c>
      <c r="D46" s="50"/>
      <c r="E46" s="43" t="str">
        <f>IF(ISBLANK(F46),G46,IF(ISBLANK(K46),_xlfn.CONCAT($H$1,C46,G46,$H$1,": ",,$H$1,D46,$H$1,IF(LEFT(E48,1)="}","",",")),_xlfn.CONCAT($H$1,C46,G46,$H$1,": ",,,D46,,IF(LEFT(E48,1)="}","",","))))</f>
        <v>"transferAgreementData":{</v>
      </c>
      <c r="F46" s="46"/>
      <c r="G46" s="45" t="s">
        <v>157</v>
      </c>
      <c r="H46" s="47"/>
      <c r="I46" s="47"/>
      <c r="J46" s="44"/>
      <c r="K46" s="44"/>
      <c r="L46" s="79" t="s">
        <v>74</v>
      </c>
      <c r="M46" s="98" t="s">
        <v>158</v>
      </c>
      <c r="N46" s="99" t="s">
        <v>159</v>
      </c>
    </row>
    <row r="47" spans="1:14" ht="15" customHeight="1">
      <c r="A47" s="19"/>
      <c r="D47" s="50" t="s">
        <v>160</v>
      </c>
      <c r="E47" s="43" t="str">
        <f>IF(ISBLANK(F47),G47,IF(ISBLANK(K47),_xlfn.CONCAT($H$1,C47,G47,$H$1,": ",,$H$1,D47,$H$1,IF(LEFT(E49,1)="}","",",")),_xlfn.CONCAT($H$1,C47,G47,$H$1,": ",,,D47,,IF(LEFT(E49,1)="}","",","))))</f>
        <v>"transmissionAgreementIdDelete": "0001",</v>
      </c>
      <c r="F47" s="46" t="s">
        <v>90</v>
      </c>
      <c r="G47" s="16" t="s">
        <v>161</v>
      </c>
      <c r="H47" s="47" t="s">
        <v>73</v>
      </c>
      <c r="I47" s="47"/>
      <c r="J47" s="44"/>
      <c r="K47" s="44"/>
      <c r="L47" s="79"/>
      <c r="M47" s="105"/>
      <c r="N47" s="99"/>
    </row>
    <row r="48" spans="1:14" ht="15" customHeight="1">
      <c r="A48" s="19">
        <v>45</v>
      </c>
      <c r="D48" s="50" t="s">
        <v>111</v>
      </c>
      <c r="E48" s="43" t="str">
        <f t="shared" si="4"/>
        <v>"emailAddress": "erikamustermann@email.com",</v>
      </c>
      <c r="F48" s="46" t="s">
        <v>90</v>
      </c>
      <c r="G48" s="45" t="s">
        <v>162</v>
      </c>
      <c r="H48" s="47" t="s">
        <v>73</v>
      </c>
      <c r="I48" s="47">
        <v>255</v>
      </c>
      <c r="J48" s="44"/>
      <c r="K48" s="44"/>
      <c r="L48" s="79" t="s">
        <v>74</v>
      </c>
      <c r="M48" s="99" t="s">
        <v>163</v>
      </c>
      <c r="N48" s="99" t="s">
        <v>159</v>
      </c>
    </row>
    <row r="49" spans="1:14" ht="15" customHeight="1">
      <c r="A49" s="19">
        <v>46</v>
      </c>
      <c r="D49" s="50" t="s">
        <v>164</v>
      </c>
      <c r="E49" s="43" t="str">
        <f t="shared" si="4"/>
        <v>"transmissionType": "EMAIL",</v>
      </c>
      <c r="F49" s="46" t="s">
        <v>71</v>
      </c>
      <c r="G49" s="45" t="s">
        <v>165</v>
      </c>
      <c r="H49" s="47" t="s">
        <v>73</v>
      </c>
      <c r="I49" s="47">
        <v>5</v>
      </c>
      <c r="J49" s="44"/>
      <c r="K49" s="44"/>
      <c r="L49" s="79" t="s">
        <v>166</v>
      </c>
      <c r="M49" s="100" t="s">
        <v>167</v>
      </c>
      <c r="N49" s="99" t="s">
        <v>159</v>
      </c>
    </row>
    <row r="50" spans="1:14" ht="15" customHeight="1">
      <c r="A50" s="19">
        <v>47</v>
      </c>
      <c r="D50" s="50" t="s">
        <v>168</v>
      </c>
      <c r="E50" s="43" t="str">
        <f t="shared" si="4"/>
        <v>"transmissionFormat": "RE_PDF"</v>
      </c>
      <c r="F50" s="46" t="s">
        <v>90</v>
      </c>
      <c r="G50" s="45" t="s">
        <v>169</v>
      </c>
      <c r="H50" s="47" t="s">
        <v>73</v>
      </c>
      <c r="I50" s="47">
        <v>10</v>
      </c>
      <c r="J50" s="44"/>
      <c r="K50" s="44"/>
      <c r="L50" s="79" t="s">
        <v>166</v>
      </c>
      <c r="M50" s="100" t="s">
        <v>170</v>
      </c>
      <c r="N50" s="99" t="s">
        <v>159</v>
      </c>
    </row>
    <row r="51" spans="1:14" ht="15" customHeight="1">
      <c r="A51" s="19">
        <v>48</v>
      </c>
      <c r="D51" s="50"/>
      <c r="E51" s="43" t="str">
        <f t="shared" si="4"/>
        <v>},</v>
      </c>
      <c r="F51" s="46"/>
      <c r="G51" s="45" t="s">
        <v>76</v>
      </c>
      <c r="H51" s="47"/>
      <c r="I51" s="47"/>
      <c r="J51" s="44"/>
      <c r="K51" s="44"/>
      <c r="L51" s="79" t="s">
        <v>74</v>
      </c>
      <c r="M51" s="77" t="s">
        <v>74</v>
      </c>
      <c r="N51" s="44"/>
    </row>
    <row r="52" spans="1:14" ht="15" customHeight="1">
      <c r="A52" s="19">
        <v>49</v>
      </c>
      <c r="D52" s="50"/>
      <c r="E52" s="43" t="str">
        <f>IF(ISBLANK(F52),G52,IF(ISBLANK(K52),_xlfn.CONCAT($H$1,C52,G52,$H$1,": ",,$H$1,D52,$H$1,IF(LEFT(E53,1)="}","",",")),_xlfn.CONCAT($H$1,C52,G52,$H$1,": ",,,D52,,IF(LEFT(E53,1)="}","",","))))</f>
        <v>"paymentInformationData":{</v>
      </c>
      <c r="F52" s="46"/>
      <c r="G52" s="45" t="s">
        <v>171</v>
      </c>
      <c r="H52" s="47"/>
      <c r="I52" s="47"/>
      <c r="J52" s="44"/>
      <c r="K52" s="44"/>
      <c r="L52" s="79" t="s">
        <v>74</v>
      </c>
      <c r="M52" s="79" t="s">
        <v>74</v>
      </c>
      <c r="N52" s="44"/>
    </row>
    <row r="53" spans="1:14" ht="15" customHeight="1">
      <c r="A53" s="19">
        <v>50</v>
      </c>
      <c r="D53" s="71" t="s">
        <v>172</v>
      </c>
      <c r="E53" s="72" t="str">
        <f t="shared" si="4"/>
        <v>"iban": "AT726000000001049462",</v>
      </c>
      <c r="F53" s="73" t="s">
        <v>90</v>
      </c>
      <c r="G53" s="74" t="s">
        <v>173</v>
      </c>
      <c r="H53" s="75" t="s">
        <v>73</v>
      </c>
      <c r="I53" s="75">
        <v>34</v>
      </c>
      <c r="J53" s="44"/>
      <c r="K53" s="44"/>
      <c r="L53" s="79" t="s">
        <v>74</v>
      </c>
      <c r="M53" s="79" t="s">
        <v>74</v>
      </c>
      <c r="N53" s="44"/>
    </row>
    <row r="54" spans="1:14" ht="15" customHeight="1">
      <c r="A54" s="19">
        <v>51</v>
      </c>
      <c r="D54" s="71" t="s">
        <v>174</v>
      </c>
      <c r="E54" s="72" t="str">
        <f t="shared" si="4"/>
        <v>"bankAccountHolderName": "Max Mustermann",</v>
      </c>
      <c r="F54" s="73" t="s">
        <v>90</v>
      </c>
      <c r="G54" s="74" t="s">
        <v>175</v>
      </c>
      <c r="H54" s="75" t="s">
        <v>73</v>
      </c>
      <c r="I54" s="75">
        <v>60</v>
      </c>
      <c r="J54" s="44"/>
      <c r="K54" s="44"/>
      <c r="L54" s="79" t="s">
        <v>74</v>
      </c>
      <c r="M54" s="79" t="s">
        <v>74</v>
      </c>
      <c r="N54" s="44"/>
    </row>
    <row r="55" spans="1:14" ht="15" customHeight="1">
      <c r="A55" s="19">
        <v>52</v>
      </c>
      <c r="D55" s="71" t="s">
        <v>89</v>
      </c>
      <c r="E55" s="72" t="str">
        <f t="shared" si="4"/>
        <v>"validityStartDate": "2025-01-14",</v>
      </c>
      <c r="F55" s="73" t="s">
        <v>90</v>
      </c>
      <c r="G55" s="74" t="s">
        <v>176</v>
      </c>
      <c r="H55" s="75" t="s">
        <v>92</v>
      </c>
      <c r="I55" s="75">
        <v>10</v>
      </c>
      <c r="J55" s="44"/>
      <c r="K55" s="44"/>
      <c r="L55" s="79" t="s">
        <v>74</v>
      </c>
      <c r="M55" s="79" t="s">
        <v>74</v>
      </c>
      <c r="N55" s="44"/>
    </row>
    <row r="56" spans="1:14" ht="15" customHeight="1">
      <c r="A56" s="19">
        <v>53</v>
      </c>
      <c r="D56" s="50" t="s">
        <v>160</v>
      </c>
      <c r="E56" s="43" t="str">
        <f t="shared" si="4"/>
        <v>"bankIdentificationIncomingPayments": "0001",</v>
      </c>
      <c r="F56" s="46" t="s">
        <v>90</v>
      </c>
      <c r="G56" s="45" t="s">
        <v>177</v>
      </c>
      <c r="H56" s="47" t="s">
        <v>73</v>
      </c>
      <c r="I56" s="47">
        <v>4</v>
      </c>
      <c r="J56" s="44"/>
      <c r="K56" s="44"/>
      <c r="L56" s="79" t="s">
        <v>74</v>
      </c>
      <c r="M56" s="86" t="s">
        <v>178</v>
      </c>
      <c r="N56" s="44"/>
    </row>
    <row r="57" spans="1:14" ht="15" customHeight="1">
      <c r="A57" s="19">
        <v>54</v>
      </c>
      <c r="D57" s="50" t="s">
        <v>179</v>
      </c>
      <c r="E57" s="43" t="str">
        <f t="shared" si="4"/>
        <v>"incomingPaymentMethod": "L",</v>
      </c>
      <c r="F57" s="46" t="s">
        <v>90</v>
      </c>
      <c r="G57" s="45" t="s">
        <v>180</v>
      </c>
      <c r="H57" s="47" t="s">
        <v>73</v>
      </c>
      <c r="I57" s="47">
        <v>1</v>
      </c>
      <c r="J57" s="44"/>
      <c r="K57" s="44"/>
      <c r="L57" s="79" t="s">
        <v>166</v>
      </c>
      <c r="M57" s="86" t="s">
        <v>181</v>
      </c>
      <c r="N57" s="44" t="s">
        <v>182</v>
      </c>
    </row>
    <row r="58" spans="1:14" ht="15" customHeight="1">
      <c r="A58" s="19">
        <v>55</v>
      </c>
      <c r="D58" s="50" t="s">
        <v>160</v>
      </c>
      <c r="E58" s="43" t="str">
        <f t="shared" si="4"/>
        <v>"bankIdentificationOutgoingPayments": "0001",</v>
      </c>
      <c r="F58" s="46" t="s">
        <v>90</v>
      </c>
      <c r="G58" s="45" t="s">
        <v>183</v>
      </c>
      <c r="H58" s="47" t="s">
        <v>73</v>
      </c>
      <c r="I58" s="47">
        <v>4</v>
      </c>
      <c r="J58" s="44"/>
      <c r="K58" s="44"/>
      <c r="L58" s="79" t="s">
        <v>74</v>
      </c>
      <c r="M58" s="86" t="s">
        <v>184</v>
      </c>
      <c r="N58" s="44"/>
    </row>
    <row r="59" spans="1:14" ht="15" customHeight="1">
      <c r="A59" s="19">
        <v>56</v>
      </c>
      <c r="D59" s="50" t="s">
        <v>185</v>
      </c>
      <c r="E59" s="43" t="str">
        <f t="shared" si="4"/>
        <v>"outgoingPaymentMethod": "R",</v>
      </c>
      <c r="F59" s="46" t="s">
        <v>90</v>
      </c>
      <c r="G59" s="45" t="s">
        <v>186</v>
      </c>
      <c r="H59" s="47" t="s">
        <v>73</v>
      </c>
      <c r="I59" s="47">
        <v>1</v>
      </c>
      <c r="J59" s="44"/>
      <c r="K59" s="44"/>
      <c r="L59" s="79" t="s">
        <v>166</v>
      </c>
      <c r="M59" s="86" t="s">
        <v>187</v>
      </c>
      <c r="N59" s="44" t="s">
        <v>182</v>
      </c>
    </row>
    <row r="60" spans="1:14" ht="15" customHeight="1">
      <c r="A60" s="19">
        <v>57</v>
      </c>
      <c r="D60" s="50" t="s">
        <v>188</v>
      </c>
      <c r="E60" s="43" t="str">
        <f t="shared" si="4"/>
        <v>"paymentCondition": "EV14",</v>
      </c>
      <c r="F60" s="46" t="s">
        <v>90</v>
      </c>
      <c r="G60" s="45" t="s">
        <v>189</v>
      </c>
      <c r="H60" s="47" t="s">
        <v>73</v>
      </c>
      <c r="I60" s="47">
        <v>4</v>
      </c>
      <c r="J60" s="44"/>
      <c r="K60" s="44"/>
      <c r="L60" s="79" t="s">
        <v>166</v>
      </c>
      <c r="M60" s="86" t="s">
        <v>190</v>
      </c>
      <c r="N60" s="44"/>
    </row>
    <row r="61" spans="1:14" ht="92.25" customHeight="1">
      <c r="A61" s="19">
        <v>58</v>
      </c>
      <c r="D61" s="50" t="s">
        <v>191</v>
      </c>
      <c r="E61" s="43" t="str">
        <f t="shared" si="4"/>
        <v>"alternativeInvoiceRecipient": "1045784711",</v>
      </c>
      <c r="F61" s="46" t="s">
        <v>90</v>
      </c>
      <c r="G61" s="45" t="s">
        <v>192</v>
      </c>
      <c r="H61" s="47" t="s">
        <v>73</v>
      </c>
      <c r="I61" s="47">
        <v>10</v>
      </c>
      <c r="J61" s="44"/>
      <c r="K61" s="44"/>
      <c r="L61" s="79" t="s">
        <v>74</v>
      </c>
      <c r="M61" s="87" t="s">
        <v>193</v>
      </c>
      <c r="N61" s="44"/>
    </row>
    <row r="62" spans="1:14" ht="15" customHeight="1">
      <c r="A62" s="19">
        <v>59</v>
      </c>
      <c r="D62" s="50" t="s">
        <v>194</v>
      </c>
      <c r="E62" s="43" t="str">
        <f>IF(ISBLANK(F62),G62,IF(ISBLANK(K62),_xlfn.CONCAT($H$1,C62,G62,$H$1,": ",,$H$1,D62,$H$1,IF(LEFT(E63,1)="}","",",")),_xlfn.CONCAT($H$1,C62,G62,$H$1,": ",,,D62,,IF(LEFT(E63,1)="}","",","))))</f>
        <v>"budgetBillingCycle": "00"</v>
      </c>
      <c r="F62" s="46" t="s">
        <v>90</v>
      </c>
      <c r="G62" s="45" t="s">
        <v>195</v>
      </c>
      <c r="H62" s="47" t="s">
        <v>73</v>
      </c>
      <c r="I62" s="47">
        <v>2</v>
      </c>
      <c r="J62" s="44"/>
      <c r="K62" s="44"/>
      <c r="L62" s="79" t="s">
        <v>166</v>
      </c>
      <c r="M62" s="86" t="s">
        <v>196</v>
      </c>
      <c r="N62" s="44"/>
    </row>
    <row r="63" spans="1:14" ht="15" customHeight="1">
      <c r="A63" s="19">
        <v>60</v>
      </c>
      <c r="D63" s="50"/>
      <c r="E63" s="43" t="str">
        <f t="shared" si="4"/>
        <v>},</v>
      </c>
      <c r="F63" s="46"/>
      <c r="G63" s="45" t="s">
        <v>76</v>
      </c>
      <c r="H63" s="47"/>
      <c r="I63" s="47"/>
      <c r="J63" s="44"/>
      <c r="K63" s="44"/>
      <c r="L63" s="44"/>
      <c r="M63" s="44"/>
      <c r="N63" s="44"/>
    </row>
    <row r="64" spans="1:14" ht="15" customHeight="1">
      <c r="A64" s="19">
        <v>61</v>
      </c>
      <c r="D64" s="57"/>
      <c r="E64" s="58" t="str">
        <f t="shared" si="4"/>
        <v>"paymentIntervalData":{</v>
      </c>
      <c r="F64" s="59"/>
      <c r="G64" s="60" t="s">
        <v>197</v>
      </c>
      <c r="H64" s="61"/>
      <c r="I64" s="47"/>
      <c r="J64" s="44"/>
      <c r="K64" s="44"/>
      <c r="L64" s="44"/>
      <c r="M64" s="44"/>
      <c r="N64" s="44"/>
    </row>
    <row r="65" spans="1:14" ht="15" customHeight="1">
      <c r="A65" s="19">
        <v>62</v>
      </c>
      <c r="D65" s="57" t="s">
        <v>132</v>
      </c>
      <c r="E65" s="58" t="str">
        <f t="shared" si="4"/>
        <v>"paymentInterval": "some text"</v>
      </c>
      <c r="F65" s="59" t="s">
        <v>71</v>
      </c>
      <c r="G65" s="60" t="s">
        <v>198</v>
      </c>
      <c r="H65" s="61" t="s">
        <v>73</v>
      </c>
      <c r="I65" s="47"/>
      <c r="J65" s="44"/>
      <c r="K65" s="44"/>
      <c r="L65" s="44"/>
      <c r="M65" s="44"/>
      <c r="N65" s="44"/>
    </row>
    <row r="66" spans="1:14" s="39" customFormat="1" ht="15" customHeight="1">
      <c r="A66" s="62">
        <v>63</v>
      </c>
      <c r="B66" s="63"/>
      <c r="C66" s="63"/>
      <c r="D66" s="57"/>
      <c r="E66" s="58" t="str">
        <f t="shared" si="4"/>
        <v>}</v>
      </c>
      <c r="F66" s="59"/>
      <c r="G66" s="60" t="s">
        <v>199</v>
      </c>
      <c r="H66" s="61"/>
      <c r="I66" s="61"/>
      <c r="J66" s="64"/>
      <c r="K66" s="64"/>
      <c r="L66" s="64"/>
      <c r="M66" s="64"/>
      <c r="N66" s="64"/>
    </row>
    <row r="67" spans="1:14" ht="15" customHeight="1">
      <c r="A67" s="19">
        <v>64</v>
      </c>
      <c r="D67" s="50" t="s">
        <v>89</v>
      </c>
      <c r="E67" s="43" t="str">
        <f>IF(ISBLANK(F67),G67,IF(ISBLANK(K67),_xlfn.CONCAT($H$1,C67,G67,$H$1,": ",,$H$1,D67,$H$1,IF(LEFT(E68,1)="}","",",")),_xlfn.CONCAT($H$1,C67,G67,$H$1,": ",,,D67,,IF(LEFT(E68,1)="}","",","))))</f>
        <v>"contractBindingDateTo": "2025-01-14",</v>
      </c>
      <c r="F67" s="46" t="s">
        <v>90</v>
      </c>
      <c r="G67" s="45" t="s">
        <v>200</v>
      </c>
      <c r="H67" s="47" t="s">
        <v>92</v>
      </c>
      <c r="I67" s="47">
        <v>8</v>
      </c>
      <c r="J67" s="44"/>
      <c r="K67" s="44"/>
      <c r="L67" s="79" t="s">
        <v>201</v>
      </c>
      <c r="M67" s="86" t="s">
        <v>202</v>
      </c>
      <c r="N67" s="44" t="s">
        <v>203</v>
      </c>
    </row>
    <row r="68" spans="1:14" ht="15" customHeight="1">
      <c r="A68" s="19">
        <v>65</v>
      </c>
      <c r="D68" s="50" t="s">
        <v>89</v>
      </c>
      <c r="E68" s="43" t="str">
        <f>IF(ISBLANK(F68),G68,IF(ISBLANK(K68),_xlfn.CONCAT($H$1,C68,G68,$H$1,": ",,$H$1,D68,$H$1,IF(LEFT(E69,1)="}","",",")),_xlfn.CONCAT($H$1,C68,G68,$H$1,": ",,,D68,,IF(LEFT(E69,1)="}","",","))))</f>
        <v>"cancellationDate": "2025-01-14"</v>
      </c>
      <c r="F68" s="46" t="s">
        <v>90</v>
      </c>
      <c r="G68" s="45" t="s">
        <v>204</v>
      </c>
      <c r="H68" s="47" t="s">
        <v>92</v>
      </c>
      <c r="I68" s="47">
        <v>8</v>
      </c>
      <c r="J68" s="44"/>
      <c r="K68" s="44"/>
      <c r="L68" s="79" t="s">
        <v>201</v>
      </c>
      <c r="M68" s="86" t="s">
        <v>205</v>
      </c>
      <c r="N68" s="44" t="s">
        <v>203</v>
      </c>
    </row>
    <row r="69" spans="1:14" ht="15" customHeight="1">
      <c r="A69" s="19">
        <v>66</v>
      </c>
      <c r="D69" s="50"/>
      <c r="E69" s="43" t="str">
        <f t="shared" si="4"/>
        <v>}</v>
      </c>
      <c r="F69" s="46"/>
      <c r="G69" s="45" t="s">
        <v>199</v>
      </c>
      <c r="H69" s="47"/>
      <c r="I69" s="47"/>
      <c r="J69" s="44"/>
      <c r="K69" s="44"/>
      <c r="L69" s="79"/>
      <c r="M69" s="86"/>
      <c r="N69" s="44"/>
    </row>
    <row r="70" spans="1:14" ht="15" customHeight="1">
      <c r="A70" s="19">
        <v>67</v>
      </c>
    </row>
    <row r="71" spans="1:14" ht="15" customHeight="1">
      <c r="A71" s="19">
        <v>68</v>
      </c>
    </row>
    <row r="72" spans="1:14" ht="15" customHeight="1">
      <c r="A72" s="19">
        <v>69</v>
      </c>
    </row>
    <row r="73" spans="1:14" ht="15" customHeight="1">
      <c r="A73" s="19">
        <v>70</v>
      </c>
    </row>
    <row r="74" spans="1:14" ht="15" customHeight="1">
      <c r="A74" s="19">
        <v>71</v>
      </c>
    </row>
    <row r="75" spans="1:14" ht="15" customHeight="1">
      <c r="A75" s="19">
        <v>72</v>
      </c>
    </row>
    <row r="76" spans="1:14" ht="15" customHeight="1">
      <c r="A76" s="19">
        <v>73</v>
      </c>
    </row>
    <row r="77" spans="1:14" ht="15" customHeight="1">
      <c r="A77" s="19">
        <v>74</v>
      </c>
    </row>
    <row r="78" spans="1:14" ht="15" customHeight="1">
      <c r="A78" s="19">
        <v>75</v>
      </c>
    </row>
    <row r="79" spans="1:14" ht="15" customHeight="1">
      <c r="A79" s="19">
        <v>76</v>
      </c>
    </row>
    <row r="80" spans="1:14" ht="15" customHeight="1">
      <c r="A80" s="19">
        <v>77</v>
      </c>
    </row>
    <row r="81" spans="1:1" ht="15" customHeight="1">
      <c r="A81" s="19">
        <v>78</v>
      </c>
    </row>
    <row r="82" spans="1:1" ht="15" customHeight="1">
      <c r="A82" s="19">
        <v>79</v>
      </c>
    </row>
    <row r="83" spans="1:1" ht="15" customHeight="1">
      <c r="A83" s="19">
        <v>80</v>
      </c>
    </row>
    <row r="84" spans="1:1" ht="15" customHeight="1">
      <c r="A84" s="19">
        <v>81</v>
      </c>
    </row>
    <row r="85" spans="1:1" ht="15" customHeight="1">
      <c r="A85" s="19">
        <v>82</v>
      </c>
    </row>
    <row r="86" spans="1:1" ht="15" customHeight="1">
      <c r="A86" s="19">
        <v>83</v>
      </c>
    </row>
    <row r="87" spans="1:1" ht="15" customHeight="1">
      <c r="A87" s="19">
        <v>84</v>
      </c>
    </row>
    <row r="88" spans="1:1" ht="15" customHeight="1">
      <c r="A88" s="19">
        <v>85</v>
      </c>
    </row>
    <row r="89" spans="1:1" ht="15" customHeight="1">
      <c r="A89" s="19">
        <v>86</v>
      </c>
    </row>
    <row r="90" spans="1:1" ht="15" customHeight="1">
      <c r="A90" s="19">
        <v>87</v>
      </c>
    </row>
    <row r="91" spans="1:1" ht="15" customHeight="1">
      <c r="A91" s="19">
        <v>88</v>
      </c>
    </row>
    <row r="92" spans="1:1" ht="15" customHeight="1">
      <c r="A92" s="19">
        <v>89</v>
      </c>
    </row>
    <row r="93" spans="1:1" ht="15" customHeight="1">
      <c r="A93" s="19">
        <v>90</v>
      </c>
    </row>
    <row r="94" spans="1:1" ht="15" customHeight="1">
      <c r="A94" s="19">
        <v>91</v>
      </c>
    </row>
    <row r="95" spans="1:1" ht="15" customHeight="1">
      <c r="A95" s="19">
        <v>92</v>
      </c>
    </row>
    <row r="96" spans="1:1" ht="15" customHeight="1">
      <c r="A96" s="19">
        <v>93</v>
      </c>
    </row>
    <row r="97" spans="1:1" ht="15" customHeight="1">
      <c r="A97" s="19">
        <v>94</v>
      </c>
    </row>
    <row r="98" spans="1:1" ht="15" customHeight="1">
      <c r="A98" s="19">
        <v>95</v>
      </c>
    </row>
    <row r="99" spans="1:1" ht="15" customHeight="1">
      <c r="A99" s="19">
        <v>96</v>
      </c>
    </row>
    <row r="100" spans="1:1" ht="15" customHeight="1">
      <c r="A100" s="19">
        <v>97</v>
      </c>
    </row>
    <row r="101" spans="1:1" ht="15" customHeight="1">
      <c r="A101" s="19">
        <v>98</v>
      </c>
    </row>
    <row r="102" spans="1:1" ht="15" customHeight="1">
      <c r="A102" s="19">
        <v>99</v>
      </c>
    </row>
    <row r="103" spans="1:1" ht="15" customHeight="1">
      <c r="A103" s="19">
        <v>100</v>
      </c>
    </row>
    <row r="104" spans="1:1" ht="15" customHeight="1">
      <c r="A104" s="19">
        <v>101</v>
      </c>
    </row>
    <row r="105" spans="1:1" ht="15" customHeight="1">
      <c r="A105" s="19">
        <v>102</v>
      </c>
    </row>
    <row r="106" spans="1:1" ht="15" customHeight="1">
      <c r="A106" s="19">
        <v>103</v>
      </c>
    </row>
    <row r="107" spans="1:1" ht="15" customHeight="1">
      <c r="A107" s="19">
        <v>104</v>
      </c>
    </row>
    <row r="108" spans="1:1" ht="15" customHeight="1">
      <c r="A108" s="19">
        <v>105</v>
      </c>
    </row>
    <row r="109" spans="1:1" ht="15" customHeight="1">
      <c r="A109" s="19">
        <v>106</v>
      </c>
    </row>
    <row r="110" spans="1:1" ht="15" customHeight="1">
      <c r="A110" s="19">
        <v>107</v>
      </c>
    </row>
    <row r="111" spans="1:1" ht="15" customHeight="1">
      <c r="A111" s="19">
        <v>108</v>
      </c>
    </row>
    <row r="112" spans="1:1" ht="15" customHeight="1">
      <c r="A112" s="19">
        <v>109</v>
      </c>
    </row>
    <row r="113" spans="1:1" ht="15" customHeight="1">
      <c r="A113" s="19">
        <v>110</v>
      </c>
    </row>
    <row r="114" spans="1:1" ht="15" customHeight="1">
      <c r="A114" s="19">
        <v>111</v>
      </c>
    </row>
    <row r="115" spans="1:1" ht="15" customHeight="1">
      <c r="A115" s="19">
        <v>112</v>
      </c>
    </row>
    <row r="116" spans="1:1" ht="15" customHeight="1">
      <c r="A116" s="19">
        <v>113</v>
      </c>
    </row>
    <row r="117" spans="1:1" ht="15" customHeight="1">
      <c r="A117" s="19">
        <v>114</v>
      </c>
    </row>
    <row r="118" spans="1:1" ht="15" customHeight="1">
      <c r="A118" s="19">
        <v>115</v>
      </c>
    </row>
    <row r="119" spans="1:1" ht="15" customHeight="1">
      <c r="A119" s="19">
        <v>116</v>
      </c>
    </row>
    <row r="120" spans="1:1" ht="15" customHeight="1">
      <c r="A120" s="19">
        <v>117</v>
      </c>
    </row>
    <row r="121" spans="1:1" ht="15" customHeight="1">
      <c r="A121" s="19">
        <v>118</v>
      </c>
    </row>
    <row r="122" spans="1:1" ht="15" customHeight="1">
      <c r="A122" s="19">
        <v>119</v>
      </c>
    </row>
    <row r="123" spans="1:1" ht="15" customHeight="1">
      <c r="A123" s="19">
        <v>120</v>
      </c>
    </row>
    <row r="124" spans="1:1" ht="15" customHeight="1">
      <c r="A124" s="19">
        <v>121</v>
      </c>
    </row>
    <row r="125" spans="1:1" ht="15" customHeight="1">
      <c r="A125" s="19">
        <v>122</v>
      </c>
    </row>
    <row r="126" spans="1:1" ht="15" customHeight="1">
      <c r="A126" s="19">
        <v>123</v>
      </c>
    </row>
    <row r="127" spans="1:1" ht="15" customHeight="1">
      <c r="A127" s="19">
        <v>124</v>
      </c>
    </row>
    <row r="128" spans="1:1" ht="15" customHeight="1">
      <c r="A128" s="19">
        <v>125</v>
      </c>
    </row>
    <row r="129" spans="1:1" ht="15" customHeight="1">
      <c r="A129" s="19">
        <v>126</v>
      </c>
    </row>
    <row r="130" spans="1:1" ht="15" customHeight="1">
      <c r="A130" s="19">
        <v>127</v>
      </c>
    </row>
    <row r="131" spans="1:1" ht="15" customHeight="1">
      <c r="A131" s="19">
        <v>128</v>
      </c>
    </row>
    <row r="132" spans="1:1" ht="15" customHeight="1">
      <c r="A132" s="19">
        <v>129</v>
      </c>
    </row>
    <row r="133" spans="1:1" ht="15" customHeight="1">
      <c r="A133" s="19">
        <v>130</v>
      </c>
    </row>
    <row r="134" spans="1:1" ht="15" customHeight="1">
      <c r="A134" s="19">
        <v>131</v>
      </c>
    </row>
    <row r="135" spans="1:1" ht="15" customHeight="1">
      <c r="A135" s="19">
        <v>132</v>
      </c>
    </row>
    <row r="136" spans="1:1" ht="15" customHeight="1">
      <c r="A136" s="19">
        <v>133</v>
      </c>
    </row>
    <row r="137" spans="1:1" ht="15" customHeight="1">
      <c r="A137" s="19">
        <v>134</v>
      </c>
    </row>
    <row r="138" spans="1:1" ht="15" customHeight="1">
      <c r="A138" s="19">
        <v>135</v>
      </c>
    </row>
    <row r="139" spans="1:1" ht="15" customHeight="1">
      <c r="A139" s="19">
        <v>136</v>
      </c>
    </row>
    <row r="140" spans="1:1" ht="15" customHeight="1">
      <c r="A140" s="19">
        <v>137</v>
      </c>
    </row>
    <row r="141" spans="1:1" ht="15" customHeight="1">
      <c r="A141" s="19">
        <v>138</v>
      </c>
    </row>
    <row r="142" spans="1:1" ht="15" customHeight="1">
      <c r="A142" s="19">
        <v>139</v>
      </c>
    </row>
    <row r="143" spans="1:1" ht="15" customHeight="1">
      <c r="A143" s="19">
        <v>140</v>
      </c>
    </row>
    <row r="144" spans="1:1" ht="15" customHeight="1">
      <c r="A144" s="19">
        <v>141</v>
      </c>
    </row>
    <row r="145" spans="1:1" ht="15" customHeight="1">
      <c r="A145" s="19">
        <v>142</v>
      </c>
    </row>
    <row r="146" spans="1:1" ht="15" customHeight="1">
      <c r="A146" s="19">
        <v>143</v>
      </c>
    </row>
    <row r="147" spans="1:1" ht="15" customHeight="1">
      <c r="A147" s="19">
        <v>144</v>
      </c>
    </row>
    <row r="148" spans="1:1" ht="15" customHeight="1">
      <c r="A148" s="19">
        <v>145</v>
      </c>
    </row>
    <row r="149" spans="1:1" ht="15" customHeight="1">
      <c r="A149" s="19">
        <v>146</v>
      </c>
    </row>
    <row r="150" spans="1:1" ht="15" customHeight="1">
      <c r="A150" s="19">
        <v>147</v>
      </c>
    </row>
    <row r="151" spans="1:1" ht="15" customHeight="1">
      <c r="A151" s="19">
        <v>148</v>
      </c>
    </row>
    <row r="152" spans="1:1" ht="15" customHeight="1">
      <c r="A152" s="19">
        <v>149</v>
      </c>
    </row>
    <row r="153" spans="1:1" ht="15" customHeight="1">
      <c r="A153" s="19">
        <v>150</v>
      </c>
    </row>
    <row r="154" spans="1:1" ht="15" customHeight="1">
      <c r="A154" s="19">
        <v>151</v>
      </c>
    </row>
    <row r="155" spans="1:1" ht="15" customHeight="1">
      <c r="A155" s="19">
        <v>152</v>
      </c>
    </row>
    <row r="156" spans="1:1" ht="15" customHeight="1">
      <c r="A156" s="19">
        <v>153</v>
      </c>
    </row>
    <row r="157" spans="1:1" ht="15" customHeight="1">
      <c r="A157" s="19">
        <v>154</v>
      </c>
    </row>
    <row r="158" spans="1:1" ht="15" customHeight="1">
      <c r="A158" s="19">
        <v>155</v>
      </c>
    </row>
    <row r="159" spans="1:1" ht="15" customHeight="1">
      <c r="A159" s="19">
        <v>156</v>
      </c>
    </row>
    <row r="160" spans="1:1" ht="15" customHeight="1">
      <c r="A160" s="19">
        <v>157</v>
      </c>
    </row>
    <row r="161" spans="1:1" ht="15" customHeight="1">
      <c r="A161" s="19">
        <v>158</v>
      </c>
    </row>
    <row r="162" spans="1:1" ht="15" customHeight="1">
      <c r="A162" s="19">
        <v>159</v>
      </c>
    </row>
    <row r="163" spans="1:1" ht="15" customHeight="1">
      <c r="A163" s="19">
        <v>160</v>
      </c>
    </row>
    <row r="164" spans="1:1" ht="15" customHeight="1">
      <c r="A164" s="19">
        <v>161</v>
      </c>
    </row>
    <row r="165" spans="1:1" ht="15" customHeight="1">
      <c r="A165" s="19">
        <v>162</v>
      </c>
    </row>
    <row r="166" spans="1:1" ht="15" customHeight="1">
      <c r="A166" s="19">
        <v>163</v>
      </c>
    </row>
    <row r="167" spans="1:1" ht="15" customHeight="1">
      <c r="A167" s="19">
        <v>164</v>
      </c>
    </row>
    <row r="168" spans="1:1" ht="15" customHeight="1">
      <c r="A168" s="19">
        <v>165</v>
      </c>
    </row>
    <row r="169" spans="1:1" ht="15" customHeight="1">
      <c r="A169" s="19">
        <v>166</v>
      </c>
    </row>
    <row r="170" spans="1:1" ht="15" customHeight="1">
      <c r="A170" s="19">
        <v>167</v>
      </c>
    </row>
    <row r="171" spans="1:1" ht="15" customHeight="1">
      <c r="A171" s="19">
        <v>168</v>
      </c>
    </row>
    <row r="172" spans="1:1" ht="15" customHeight="1">
      <c r="A172" s="19">
        <v>169</v>
      </c>
    </row>
    <row r="173" spans="1:1" ht="15" customHeight="1">
      <c r="A173" s="19">
        <v>170</v>
      </c>
    </row>
    <row r="174" spans="1:1" ht="15" customHeight="1">
      <c r="A174" s="19">
        <v>171</v>
      </c>
    </row>
    <row r="175" spans="1:1" ht="15" customHeight="1">
      <c r="A175" s="19">
        <v>172</v>
      </c>
    </row>
    <row r="176" spans="1:1" ht="15" customHeight="1">
      <c r="A176" s="19">
        <v>173</v>
      </c>
    </row>
    <row r="177" spans="1:1" ht="15" customHeight="1">
      <c r="A177" s="19">
        <v>174</v>
      </c>
    </row>
    <row r="178" spans="1:1" ht="15" customHeight="1">
      <c r="A178" s="19">
        <v>175</v>
      </c>
    </row>
    <row r="179" spans="1:1" ht="15" customHeight="1">
      <c r="A179" s="19">
        <v>176</v>
      </c>
    </row>
    <row r="180" spans="1:1" ht="15" customHeight="1">
      <c r="A180" s="19">
        <v>177</v>
      </c>
    </row>
    <row r="181" spans="1:1" ht="15" customHeight="1">
      <c r="A181" s="19">
        <v>178</v>
      </c>
    </row>
    <row r="182" spans="1:1" ht="15" customHeight="1">
      <c r="A182" s="19">
        <v>179</v>
      </c>
    </row>
    <row r="183" spans="1:1" ht="15" customHeight="1">
      <c r="A183" s="19">
        <v>180</v>
      </c>
    </row>
    <row r="184" spans="1:1" ht="15" customHeight="1">
      <c r="A184" s="19">
        <v>181</v>
      </c>
    </row>
    <row r="185" spans="1:1" ht="15" customHeight="1">
      <c r="A185" s="19">
        <v>182</v>
      </c>
    </row>
    <row r="186" spans="1:1" ht="15" customHeight="1">
      <c r="A186" s="19">
        <v>183</v>
      </c>
    </row>
    <row r="187" spans="1:1" ht="15" customHeight="1">
      <c r="A187" s="19">
        <v>184</v>
      </c>
    </row>
    <row r="188" spans="1:1" ht="15" customHeight="1">
      <c r="A188" s="19">
        <v>185</v>
      </c>
    </row>
    <row r="189" spans="1:1" ht="15" customHeight="1">
      <c r="A189" s="19">
        <v>186</v>
      </c>
    </row>
    <row r="190" spans="1:1" ht="15" customHeight="1">
      <c r="A190" s="19">
        <v>187</v>
      </c>
    </row>
    <row r="191" spans="1:1" ht="15" customHeight="1">
      <c r="A191" s="19">
        <v>188</v>
      </c>
    </row>
    <row r="192" spans="1:1" ht="15" customHeight="1">
      <c r="A192" s="19">
        <v>189</v>
      </c>
    </row>
    <row r="193" spans="1:1" ht="15" customHeight="1">
      <c r="A193" s="19">
        <v>190</v>
      </c>
    </row>
    <row r="194" spans="1:1" ht="15" customHeight="1">
      <c r="A194" s="19">
        <v>191</v>
      </c>
    </row>
    <row r="195" spans="1:1" ht="15" customHeight="1">
      <c r="A195" s="19">
        <v>192</v>
      </c>
    </row>
    <row r="196" spans="1:1" ht="15" customHeight="1">
      <c r="A196" s="19">
        <v>193</v>
      </c>
    </row>
    <row r="197" spans="1:1" ht="15" customHeight="1">
      <c r="A197" s="19">
        <v>194</v>
      </c>
    </row>
    <row r="198" spans="1:1" ht="15" customHeight="1">
      <c r="A198" s="19">
        <v>195</v>
      </c>
    </row>
    <row r="199" spans="1:1" ht="15" customHeight="1">
      <c r="A199" s="19">
        <v>196</v>
      </c>
    </row>
    <row r="200" spans="1:1" ht="15" customHeight="1">
      <c r="A200" s="19">
        <v>197</v>
      </c>
    </row>
    <row r="201" spans="1:1" ht="15" customHeight="1">
      <c r="A201" s="19">
        <v>198</v>
      </c>
    </row>
    <row r="202" spans="1:1" ht="15" customHeight="1">
      <c r="A202" s="19">
        <v>199</v>
      </c>
    </row>
    <row r="203" spans="1:1" ht="15" customHeight="1">
      <c r="A203" s="19">
        <v>200</v>
      </c>
    </row>
    <row r="204" spans="1:1" ht="15" customHeight="1">
      <c r="A204" s="19">
        <v>201</v>
      </c>
    </row>
    <row r="205" spans="1:1" ht="15" customHeight="1">
      <c r="A205" s="19">
        <v>202</v>
      </c>
    </row>
    <row r="206" spans="1:1" ht="15" customHeight="1">
      <c r="A206" s="19">
        <v>203</v>
      </c>
    </row>
    <row r="207" spans="1:1" ht="15" customHeight="1">
      <c r="A207" s="19">
        <v>204</v>
      </c>
    </row>
    <row r="208" spans="1:1" ht="15" customHeight="1">
      <c r="A208" s="19">
        <v>205</v>
      </c>
    </row>
    <row r="209" spans="1:1" ht="15" customHeight="1">
      <c r="A209" s="19">
        <v>206</v>
      </c>
    </row>
    <row r="210" spans="1:1" ht="15" customHeight="1">
      <c r="A210" s="19">
        <v>207</v>
      </c>
    </row>
    <row r="211" spans="1:1" ht="15" customHeight="1">
      <c r="A211" s="19">
        <v>208</v>
      </c>
    </row>
    <row r="212" spans="1:1" ht="15" customHeight="1">
      <c r="A212" s="19">
        <v>209</v>
      </c>
    </row>
    <row r="213" spans="1:1" ht="15" customHeight="1">
      <c r="A213" s="19">
        <v>210</v>
      </c>
    </row>
    <row r="214" spans="1:1" ht="15" customHeight="1">
      <c r="A214" s="19">
        <v>211</v>
      </c>
    </row>
    <row r="215" spans="1:1" ht="15" customHeight="1">
      <c r="A215" s="19">
        <v>212</v>
      </c>
    </row>
    <row r="216" spans="1:1" ht="15" customHeight="1">
      <c r="A216" s="19">
        <v>213</v>
      </c>
    </row>
    <row r="217" spans="1:1" ht="15" customHeight="1">
      <c r="A217" s="19">
        <v>214</v>
      </c>
    </row>
    <row r="218" spans="1:1" ht="15" customHeight="1">
      <c r="A218" s="19">
        <v>215</v>
      </c>
    </row>
    <row r="219" spans="1:1" ht="15" customHeight="1">
      <c r="A219" s="19">
        <v>216</v>
      </c>
    </row>
    <row r="220" spans="1:1" ht="15" customHeight="1">
      <c r="A220" s="19">
        <v>217</v>
      </c>
    </row>
    <row r="221" spans="1:1" ht="15" customHeight="1">
      <c r="A221" s="19">
        <v>218</v>
      </c>
    </row>
    <row r="222" spans="1:1" ht="15" customHeight="1">
      <c r="A222" s="19">
        <v>219</v>
      </c>
    </row>
    <row r="223" spans="1:1" ht="15" customHeight="1">
      <c r="A223" s="19">
        <v>220</v>
      </c>
    </row>
    <row r="224" spans="1:1" ht="15" customHeight="1">
      <c r="A224" s="19">
        <v>221</v>
      </c>
    </row>
    <row r="225" spans="1:1" ht="15" customHeight="1">
      <c r="A225" s="19">
        <v>222</v>
      </c>
    </row>
    <row r="226" spans="1:1" ht="15" customHeight="1">
      <c r="A226" s="19">
        <v>223</v>
      </c>
    </row>
    <row r="227" spans="1:1" ht="15" customHeight="1">
      <c r="A227" s="19">
        <v>224</v>
      </c>
    </row>
    <row r="228" spans="1:1" ht="15" customHeight="1">
      <c r="A228" s="19">
        <v>225</v>
      </c>
    </row>
    <row r="229" spans="1:1" ht="15" customHeight="1">
      <c r="A229" s="19">
        <v>226</v>
      </c>
    </row>
    <row r="230" spans="1:1" ht="15" customHeight="1">
      <c r="A230" s="19">
        <v>227</v>
      </c>
    </row>
    <row r="231" spans="1:1" ht="15" customHeight="1">
      <c r="A231" s="19">
        <v>228</v>
      </c>
    </row>
  </sheetData>
  <mergeCells count="1">
    <mergeCell ref="A1:G1"/>
  </mergeCells>
  <phoneticPr fontId="7" type="noConversion"/>
  <hyperlinks>
    <hyperlink ref="N67" r:id="rId1" xr:uid="{97FAA466-60DE-4196-985C-B01AD987474A}"/>
    <hyperlink ref="N68" r:id="rId2" xr:uid="{EF660918-2686-4CD2-A4E7-2BF61F91798E}"/>
  </hyperlinks>
  <pageMargins left="0.7" right="0.7" top="0.75" bottom="0.75" header="0.3" footer="0.3"/>
  <pageSetup paperSize="9" orientation="portrait" r:id="rId3"/>
  <headerFooter>
    <oddFooter>&amp;L_x000D_&amp;1#&amp;"Aptos"&amp;10&amp;K000000 TLP:AMBER - vertraulich</oddFooter>
  </headerFooter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5AF4-68F4-4291-9F70-7CDE9450F6A3}">
  <dimension ref="A1:E46"/>
  <sheetViews>
    <sheetView zoomScale="85" zoomScaleNormal="85" workbookViewId="0">
      <pane ySplit="1" topLeftCell="A12" activePane="bottomLeft" state="frozen"/>
      <selection pane="bottomLeft" activeCell="A26" sqref="A26"/>
    </sheetView>
  </sheetViews>
  <sheetFormatPr defaultColWidth="8.85546875" defaultRowHeight="14.45"/>
  <cols>
    <col min="1" max="1" width="19.7109375" customWidth="1"/>
    <col min="2" max="2" width="21.42578125" customWidth="1"/>
    <col min="3" max="3" width="51.140625" customWidth="1"/>
    <col min="4" max="4" width="53.42578125" style="53" customWidth="1"/>
    <col min="5" max="5" width="78.42578125" customWidth="1"/>
  </cols>
  <sheetData>
    <row r="1" spans="1:5">
      <c r="A1" s="6" t="s">
        <v>206</v>
      </c>
      <c r="B1" s="6" t="s">
        <v>207</v>
      </c>
      <c r="C1" s="6" t="s">
        <v>208</v>
      </c>
      <c r="D1" s="52" t="s">
        <v>209</v>
      </c>
      <c r="E1" s="6" t="s">
        <v>210</v>
      </c>
    </row>
    <row r="2" spans="1:5">
      <c r="B2" s="15"/>
      <c r="C2" t="s">
        <v>180</v>
      </c>
      <c r="D2" s="53" t="s">
        <v>179</v>
      </c>
      <c r="E2" t="s">
        <v>211</v>
      </c>
    </row>
    <row r="3" spans="1:5">
      <c r="C3" t="s">
        <v>186</v>
      </c>
      <c r="D3" s="53" t="s">
        <v>212</v>
      </c>
      <c r="E3" t="s">
        <v>213</v>
      </c>
    </row>
    <row r="4" spans="1:5">
      <c r="A4" s="17"/>
      <c r="C4" t="s">
        <v>186</v>
      </c>
      <c r="D4" s="53" t="s">
        <v>185</v>
      </c>
      <c r="E4" t="s">
        <v>214</v>
      </c>
    </row>
    <row r="5" spans="1:5">
      <c r="A5" s="17"/>
      <c r="C5" t="s">
        <v>189</v>
      </c>
      <c r="D5" s="53" t="s">
        <v>215</v>
      </c>
      <c r="E5" t="s">
        <v>216</v>
      </c>
    </row>
    <row r="6" spans="1:5">
      <c r="A6" s="17"/>
      <c r="C6" t="s">
        <v>189</v>
      </c>
      <c r="D6" s="53" t="s">
        <v>217</v>
      </c>
      <c r="E6" t="s">
        <v>218</v>
      </c>
    </row>
    <row r="7" spans="1:5">
      <c r="A7" s="17"/>
      <c r="C7" t="s">
        <v>189</v>
      </c>
      <c r="D7" s="53" t="s">
        <v>219</v>
      </c>
      <c r="E7" t="s">
        <v>220</v>
      </c>
    </row>
    <row r="8" spans="1:5">
      <c r="A8" s="17"/>
      <c r="C8" t="s">
        <v>189</v>
      </c>
      <c r="D8" s="53" t="s">
        <v>188</v>
      </c>
      <c r="E8" t="s">
        <v>221</v>
      </c>
    </row>
    <row r="9" spans="1:5">
      <c r="C9" t="s">
        <v>189</v>
      </c>
      <c r="D9" s="53" t="s">
        <v>222</v>
      </c>
      <c r="E9" t="s">
        <v>223</v>
      </c>
    </row>
    <row r="10" spans="1:5">
      <c r="A10" s="18"/>
      <c r="C10" t="s">
        <v>189</v>
      </c>
      <c r="D10" s="53" t="s">
        <v>224</v>
      </c>
      <c r="E10" t="s">
        <v>225</v>
      </c>
    </row>
    <row r="11" spans="1:5">
      <c r="A11" s="18"/>
      <c r="C11" t="s">
        <v>189</v>
      </c>
      <c r="D11" s="53" t="s">
        <v>226</v>
      </c>
      <c r="E11" t="s">
        <v>227</v>
      </c>
    </row>
    <row r="12" spans="1:5">
      <c r="C12" t="s">
        <v>189</v>
      </c>
      <c r="D12" s="53" t="s">
        <v>228</v>
      </c>
      <c r="E12" t="s">
        <v>229</v>
      </c>
    </row>
    <row r="13" spans="1:5">
      <c r="A13" s="17"/>
      <c r="C13" t="s">
        <v>189</v>
      </c>
      <c r="D13" s="53" t="s">
        <v>230</v>
      </c>
      <c r="E13" t="s">
        <v>231</v>
      </c>
    </row>
    <row r="14" spans="1:5">
      <c r="A14" s="17"/>
      <c r="C14" t="s">
        <v>189</v>
      </c>
      <c r="D14" s="53" t="s">
        <v>232</v>
      </c>
      <c r="E14" t="s">
        <v>233</v>
      </c>
    </row>
    <row r="15" spans="1:5">
      <c r="A15" s="17"/>
      <c r="C15" t="s">
        <v>189</v>
      </c>
      <c r="D15" s="53" t="s">
        <v>234</v>
      </c>
      <c r="E15" t="s">
        <v>235</v>
      </c>
    </row>
    <row r="16" spans="1:5">
      <c r="A16" s="17"/>
      <c r="C16" t="s">
        <v>189</v>
      </c>
      <c r="D16" s="53" t="s">
        <v>236</v>
      </c>
      <c r="E16" t="s">
        <v>237</v>
      </c>
    </row>
    <row r="17" spans="1:5">
      <c r="A17" s="17"/>
      <c r="C17" t="s">
        <v>189</v>
      </c>
      <c r="D17" s="53" t="s">
        <v>238</v>
      </c>
      <c r="E17" t="s">
        <v>239</v>
      </c>
    </row>
    <row r="18" spans="1:5">
      <c r="A18" s="17"/>
      <c r="C18" t="s">
        <v>189</v>
      </c>
      <c r="D18" s="53" t="s">
        <v>240</v>
      </c>
      <c r="E18" t="s">
        <v>241</v>
      </c>
    </row>
    <row r="19" spans="1:5">
      <c r="A19" s="17"/>
      <c r="C19" t="s">
        <v>189</v>
      </c>
      <c r="D19" s="53" t="s">
        <v>242</v>
      </c>
      <c r="E19" t="s">
        <v>243</v>
      </c>
    </row>
    <row r="20" spans="1:5">
      <c r="A20" s="17"/>
      <c r="C20" t="s">
        <v>189</v>
      </c>
      <c r="D20" s="53" t="s">
        <v>244</v>
      </c>
      <c r="E20" t="s">
        <v>245</v>
      </c>
    </row>
    <row r="21" spans="1:5">
      <c r="A21" s="17"/>
      <c r="C21" t="s">
        <v>189</v>
      </c>
      <c r="D21" s="53" t="s">
        <v>246</v>
      </c>
      <c r="E21" t="s">
        <v>247</v>
      </c>
    </row>
    <row r="22" spans="1:5">
      <c r="A22" s="17"/>
      <c r="C22" t="s">
        <v>195</v>
      </c>
      <c r="D22" s="53" t="s">
        <v>194</v>
      </c>
      <c r="E22" t="s">
        <v>248</v>
      </c>
    </row>
    <row r="23" spans="1:5">
      <c r="A23" s="17"/>
      <c r="C23" t="s">
        <v>195</v>
      </c>
      <c r="D23" s="53" t="s">
        <v>116</v>
      </c>
      <c r="E23" t="s">
        <v>249</v>
      </c>
    </row>
    <row r="24" spans="1:5">
      <c r="C24" t="s">
        <v>195</v>
      </c>
      <c r="D24" s="53" t="s">
        <v>250</v>
      </c>
      <c r="E24" t="s">
        <v>251</v>
      </c>
    </row>
    <row r="25" spans="1:5">
      <c r="A25" s="16"/>
      <c r="C25" t="s">
        <v>195</v>
      </c>
      <c r="D25" s="53" t="s">
        <v>252</v>
      </c>
      <c r="E25" t="s">
        <v>253</v>
      </c>
    </row>
    <row r="26" spans="1:5">
      <c r="A26" s="16"/>
      <c r="C26" t="s">
        <v>165</v>
      </c>
      <c r="D26" s="53" t="s">
        <v>164</v>
      </c>
      <c r="E26" t="s">
        <v>254</v>
      </c>
    </row>
    <row r="27" spans="1:5" ht="15">
      <c r="A27" s="101"/>
      <c r="B27" s="101"/>
      <c r="C27" s="101" t="s">
        <v>165</v>
      </c>
      <c r="D27" s="102" t="s">
        <v>255</v>
      </c>
      <c r="E27" s="101" t="s">
        <v>255</v>
      </c>
    </row>
    <row r="28" spans="1:5" ht="15">
      <c r="A28" s="101"/>
      <c r="B28" s="101"/>
      <c r="C28" s="101" t="s">
        <v>169</v>
      </c>
      <c r="D28" s="103" t="s">
        <v>256</v>
      </c>
      <c r="E28" s="104" t="s">
        <v>257</v>
      </c>
    </row>
    <row r="29" spans="1:5" ht="15">
      <c r="A29" s="101"/>
      <c r="B29" s="101"/>
      <c r="C29" s="101" t="s">
        <v>169</v>
      </c>
      <c r="D29" s="102" t="s">
        <v>258</v>
      </c>
      <c r="E29" s="101" t="s">
        <v>259</v>
      </c>
    </row>
    <row r="30" spans="1:5" ht="15">
      <c r="A30" s="101"/>
      <c r="B30" s="101"/>
      <c r="C30" s="101" t="s">
        <v>169</v>
      </c>
      <c r="D30" s="102" t="s">
        <v>260</v>
      </c>
      <c r="E30" s="101" t="s">
        <v>261</v>
      </c>
    </row>
    <row r="31" spans="1:5" ht="15">
      <c r="A31" s="101"/>
      <c r="B31" s="101"/>
      <c r="C31" s="101" t="s">
        <v>169</v>
      </c>
      <c r="D31" s="102" t="s">
        <v>262</v>
      </c>
      <c r="E31" s="101" t="s">
        <v>263</v>
      </c>
    </row>
    <row r="32" spans="1:5" ht="15">
      <c r="A32" s="101"/>
      <c r="B32" s="101"/>
      <c r="C32" s="101" t="s">
        <v>169</v>
      </c>
      <c r="D32" s="102" t="s">
        <v>264</v>
      </c>
      <c r="E32" s="101" t="s">
        <v>265</v>
      </c>
    </row>
    <row r="33" spans="1:5" ht="15">
      <c r="A33" s="101"/>
      <c r="B33" s="101"/>
      <c r="C33" s="101" t="s">
        <v>169</v>
      </c>
      <c r="D33" s="102" t="s">
        <v>168</v>
      </c>
      <c r="E33" s="101" t="s">
        <v>266</v>
      </c>
    </row>
    <row r="34" spans="1:5" ht="15">
      <c r="A34" s="101"/>
      <c r="B34" s="101"/>
      <c r="C34" s="101" t="s">
        <v>169</v>
      </c>
      <c r="D34" s="102" t="s">
        <v>267</v>
      </c>
      <c r="E34" s="101" t="s">
        <v>268</v>
      </c>
    </row>
    <row r="35" spans="1:5" ht="15">
      <c r="A35" s="101"/>
      <c r="B35" s="101"/>
      <c r="C35" s="101" t="s">
        <v>169</v>
      </c>
      <c r="D35" s="102" t="s">
        <v>269</v>
      </c>
      <c r="E35" s="101" t="s">
        <v>270</v>
      </c>
    </row>
    <row r="36" spans="1:5" ht="15">
      <c r="A36" s="101"/>
      <c r="B36" s="101"/>
      <c r="C36" s="101" t="s">
        <v>169</v>
      </c>
      <c r="D36" s="102" t="s">
        <v>271</v>
      </c>
      <c r="E36" s="101" t="s">
        <v>272</v>
      </c>
    </row>
    <row r="37" spans="1:5" ht="15">
      <c r="A37" s="101"/>
      <c r="B37" s="101"/>
      <c r="C37" s="101" t="s">
        <v>169</v>
      </c>
      <c r="D37" s="102" t="s">
        <v>273</v>
      </c>
      <c r="E37" s="101" t="s">
        <v>274</v>
      </c>
    </row>
    <row r="38" spans="1:5">
      <c r="C38" t="s">
        <v>275</v>
      </c>
      <c r="D38" s="53" t="s">
        <v>105</v>
      </c>
      <c r="E38" t="s">
        <v>276</v>
      </c>
    </row>
    <row r="39" spans="1:5">
      <c r="C39" t="s">
        <v>275</v>
      </c>
      <c r="D39" s="53" t="s">
        <v>277</v>
      </c>
      <c r="E39" t="s">
        <v>278</v>
      </c>
    </row>
    <row r="40" spans="1:5">
      <c r="C40" t="s">
        <v>108</v>
      </c>
      <c r="D40" s="53" t="s">
        <v>105</v>
      </c>
      <c r="E40" t="s">
        <v>279</v>
      </c>
    </row>
    <row r="41" spans="1:5">
      <c r="C41" t="s">
        <v>108</v>
      </c>
      <c r="D41" s="53" t="s">
        <v>280</v>
      </c>
      <c r="E41" t="s">
        <v>281</v>
      </c>
    </row>
    <row r="42" spans="1:5">
      <c r="C42" t="s">
        <v>108</v>
      </c>
      <c r="D42" s="53" t="s">
        <v>277</v>
      </c>
      <c r="E42" t="s">
        <v>282</v>
      </c>
    </row>
    <row r="43" spans="1:5">
      <c r="C43" t="s">
        <v>108</v>
      </c>
      <c r="D43" s="53" t="s">
        <v>283</v>
      </c>
      <c r="E43" t="s">
        <v>284</v>
      </c>
    </row>
    <row r="44" spans="1:5">
      <c r="C44" t="s">
        <v>108</v>
      </c>
      <c r="D44" s="53" t="s">
        <v>107</v>
      </c>
      <c r="E44" t="s">
        <v>285</v>
      </c>
    </row>
    <row r="45" spans="1:5">
      <c r="C45" t="s">
        <v>117</v>
      </c>
      <c r="D45" s="53" t="s">
        <v>116</v>
      </c>
      <c r="E45" t="s">
        <v>278</v>
      </c>
    </row>
    <row r="46" spans="1:5">
      <c r="C46" t="s">
        <v>117</v>
      </c>
      <c r="D46" s="53" t="s">
        <v>286</v>
      </c>
      <c r="E46" t="s">
        <v>287</v>
      </c>
    </row>
  </sheetData>
  <phoneticPr fontId="7" type="noConversion"/>
  <pageMargins left="0.7" right="0.7" top="0.75" bottom="0.75" header="0.3" footer="0.3"/>
  <headerFooter>
    <oddFooter>&amp;L_x000D_&amp;1#&amp;"Aptos"&amp;10&amp;K000000 TLP:AMBER - vertraulich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0c337-da6c-4823-a7c5-4a1c4b26feb7" xsi:nil="true"/>
    <lcf76f155ced4ddcb4097134ff3c332f xmlns="e4361cca-6ff4-4873-ad8b-ea1762d80a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513D42BAB94749BF98730FF7F7E801" ma:contentTypeVersion="12" ma:contentTypeDescription="Ein neues Dokument erstellen." ma:contentTypeScope="" ma:versionID="f3e276db18be7a6316c21a1f725b39e9">
  <xsd:schema xmlns:xsd="http://www.w3.org/2001/XMLSchema" xmlns:xs="http://www.w3.org/2001/XMLSchema" xmlns:p="http://schemas.microsoft.com/office/2006/metadata/properties" xmlns:ns2="e4361cca-6ff4-4873-ad8b-ea1762d80a5f" xmlns:ns3="4f20c337-da6c-4823-a7c5-4a1c4b26feb7" targetNamespace="http://schemas.microsoft.com/office/2006/metadata/properties" ma:root="true" ma:fieldsID="29c65a843f6d579c213d396d44b96486" ns2:_="" ns3:_="">
    <xsd:import namespace="e4361cca-6ff4-4873-ad8b-ea1762d80a5f"/>
    <xsd:import namespace="4f20c337-da6c-4823-a7c5-4a1c4b26f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61cca-6ff4-4873-ad8b-ea1762d80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2130dff-0f6b-4ee7-bbfa-3cb338db2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c337-da6c-4823-a7c5-4a1c4b26fe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25f374b-01dc-49c5-b191-83f82b9e1e05}" ma:internalName="TaxCatchAll" ma:showField="CatchAllData" ma:web="4f20c337-da6c-4823-a7c5-4a1c4b26f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11B7E0-CF7E-4F87-8C69-2DB90DBADBE4}"/>
</file>

<file path=customXml/itemProps2.xml><?xml version="1.0" encoding="utf-8"?>
<ds:datastoreItem xmlns:ds="http://schemas.openxmlformats.org/officeDocument/2006/customXml" ds:itemID="{DDC23B2C-FE16-49E0-B644-0205728EFCAF}"/>
</file>

<file path=customXml/itemProps3.xml><?xml version="1.0" encoding="utf-8"?>
<ds:datastoreItem xmlns:ds="http://schemas.openxmlformats.org/officeDocument/2006/customXml" ds:itemID="{79F09F44-467F-49AF-8A23-79F8DF238682}"/>
</file>

<file path=docMetadata/LabelInfo.xml><?xml version="1.0" encoding="utf-8"?>
<clbl:labelList xmlns:clbl="http://schemas.microsoft.com/office/2020/mipLabelMetadata">
  <clbl:label id="{2d8b24e5-b9a4-4e15-ba29-0d61d2b19ad1}" enabled="1" method="Standard" siteId="{7d463204-c9c5-402a-a1c6-f7bbe8e5ee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Friedrich Dirk</dc:creator>
  <cp:keywords/>
  <dc:description/>
  <cp:lastModifiedBy/>
  <cp:revision/>
  <dcterms:created xsi:type="dcterms:W3CDTF">2024-04-27T08:51:11Z</dcterms:created>
  <dcterms:modified xsi:type="dcterms:W3CDTF">2026-03-20T14:57:34Z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0x010100A3513D42BAB94749BF98730FF7F7E801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